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Nazil\1 A CHARUSAT\1 Visual Studio Code\Personal\DOA\1_Excel_DOA_Course\Excel_Data_Analytics_Course\2_Formulas_Functions\"/>
    </mc:Choice>
  </mc:AlternateContent>
  <xr:revisionPtr revIDLastSave="0" documentId="13_ncr:1_{3239D18C-E77B-436A-BC8C-E73FB5A5539F}" xr6:coauthVersionLast="47" xr6:coauthVersionMax="47" xr10:uidLastSave="{00000000-0000-0000-0000-000000000000}"/>
  <bookViews>
    <workbookView xWindow="-108" yWindow="-108" windowWidth="23256" windowHeight="12456" activeTab="2" xr2:uid="{8CC555B5-3E06-43B6-9E5B-C0A1D3498DA4}"/>
  </bookViews>
  <sheets>
    <sheet name="Data" sheetId="9" r:id="rId1"/>
    <sheet name="Final" sheetId="7" r:id="rId2"/>
    <sheet name="Errors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9" l="1"/>
  <c r="D17" i="9"/>
  <c r="D16" i="9"/>
  <c r="C16" i="9"/>
  <c r="D15" i="9"/>
  <c r="E15" i="9"/>
  <c r="C15" i="9"/>
  <c r="D14" i="9"/>
  <c r="E14" i="9"/>
  <c r="C14" i="9"/>
  <c r="L12" i="9"/>
  <c r="P12" i="9" s="1"/>
  <c r="K12" i="9"/>
  <c r="H12" i="9"/>
  <c r="I12" i="9" s="1"/>
  <c r="G12" i="9"/>
  <c r="F12" i="9"/>
  <c r="L11" i="9"/>
  <c r="P11" i="9" s="1"/>
  <c r="K11" i="9"/>
  <c r="H11" i="9"/>
  <c r="I11" i="9" s="1"/>
  <c r="G11" i="9"/>
  <c r="F11" i="9"/>
  <c r="L10" i="9"/>
  <c r="P10" i="9" s="1"/>
  <c r="K10" i="9"/>
  <c r="H10" i="9"/>
  <c r="I10" i="9" s="1"/>
  <c r="G10" i="9"/>
  <c r="F10" i="9"/>
  <c r="L9" i="9"/>
  <c r="P9" i="9" s="1"/>
  <c r="K9" i="9"/>
  <c r="H9" i="9"/>
  <c r="I9" i="9" s="1"/>
  <c r="G9" i="9"/>
  <c r="F9" i="9"/>
  <c r="L8" i="9"/>
  <c r="P8" i="9" s="1"/>
  <c r="K8" i="9"/>
  <c r="H8" i="9"/>
  <c r="I8" i="9" s="1"/>
  <c r="G8" i="9"/>
  <c r="F8" i="9"/>
  <c r="M7" i="9"/>
  <c r="L7" i="9"/>
  <c r="P7" i="9" s="1"/>
  <c r="K7" i="9"/>
  <c r="I7" i="9"/>
  <c r="J7" i="9" s="1"/>
  <c r="H7" i="9"/>
  <c r="G7" i="9"/>
  <c r="F7" i="9"/>
  <c r="L6" i="9"/>
  <c r="P6" i="9" s="1"/>
  <c r="K6" i="9"/>
  <c r="H6" i="9"/>
  <c r="I6" i="9" s="1"/>
  <c r="G6" i="9"/>
  <c r="F6" i="9"/>
  <c r="L5" i="9"/>
  <c r="P5" i="9" s="1"/>
  <c r="K5" i="9"/>
  <c r="H5" i="9"/>
  <c r="I5" i="9" s="1"/>
  <c r="G5" i="9"/>
  <c r="F5" i="9"/>
  <c r="L4" i="9"/>
  <c r="P4" i="9" s="1"/>
  <c r="K4" i="9"/>
  <c r="H4" i="9"/>
  <c r="I4" i="9" s="1"/>
  <c r="G4" i="9"/>
  <c r="F4" i="9"/>
  <c r="L3" i="9"/>
  <c r="P3" i="9" s="1"/>
  <c r="K3" i="9"/>
  <c r="H3" i="9"/>
  <c r="I3" i="9" s="1"/>
  <c r="G3" i="9"/>
  <c r="F3" i="9"/>
  <c r="B9" i="8"/>
  <c r="B4" i="8"/>
  <c r="B6" i="8" a="1"/>
  <c r="B6" i="8" s="1"/>
  <c r="B7" i="8"/>
  <c r="B5" i="8"/>
  <c r="B8" i="8"/>
  <c r="B3" i="8"/>
  <c r="D17" i="7"/>
  <c r="D16" i="7"/>
  <c r="C17" i="7"/>
  <c r="C16" i="7"/>
  <c r="C15" i="7"/>
  <c r="D15" i="7"/>
  <c r="E15" i="7"/>
  <c r="D14" i="7"/>
  <c r="E14" i="7"/>
  <c r="F14" i="7"/>
  <c r="C14" i="7"/>
  <c r="D13" i="7"/>
  <c r="E13" i="7"/>
  <c r="C13" i="7"/>
  <c r="L12" i="7"/>
  <c r="P12" i="7" s="1"/>
  <c r="K12" i="7"/>
  <c r="H12" i="7"/>
  <c r="I12" i="7" s="1"/>
  <c r="G12" i="7"/>
  <c r="M12" i="7" s="1"/>
  <c r="F12" i="7"/>
  <c r="L11" i="7"/>
  <c r="P11" i="7" s="1"/>
  <c r="K11" i="7"/>
  <c r="I11" i="7"/>
  <c r="J11" i="7" s="1"/>
  <c r="H11" i="7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P9" i="7" s="1"/>
  <c r="F9" i="7"/>
  <c r="L8" i="7"/>
  <c r="K8" i="7"/>
  <c r="I8" i="7"/>
  <c r="J8" i="7" s="1"/>
  <c r="H8" i="7"/>
  <c r="G8" i="7"/>
  <c r="M8" i="7" s="1"/>
  <c r="P8" i="7" s="1"/>
  <c r="F8" i="7"/>
  <c r="L7" i="7"/>
  <c r="K7" i="7"/>
  <c r="H7" i="7"/>
  <c r="I7" i="7" s="1"/>
  <c r="G7" i="7"/>
  <c r="M7" i="7" s="1"/>
  <c r="P7" i="7" s="1"/>
  <c r="F7" i="7"/>
  <c r="L6" i="7"/>
  <c r="K6" i="7"/>
  <c r="H6" i="7"/>
  <c r="I6" i="7" s="1"/>
  <c r="G6" i="7"/>
  <c r="M6" i="7" s="1"/>
  <c r="P6" i="7" s="1"/>
  <c r="F6" i="7"/>
  <c r="L5" i="7"/>
  <c r="P5" i="7" s="1"/>
  <c r="K5" i="7"/>
  <c r="I5" i="7"/>
  <c r="J5" i="7" s="1"/>
  <c r="H5" i="7"/>
  <c r="G5" i="7"/>
  <c r="M5" i="7" s="1"/>
  <c r="F5" i="7"/>
  <c r="L4" i="7"/>
  <c r="K4" i="7"/>
  <c r="H4" i="7"/>
  <c r="I4" i="7" s="1"/>
  <c r="G4" i="7"/>
  <c r="J4" i="7" s="1"/>
  <c r="F4" i="7"/>
  <c r="L3" i="7"/>
  <c r="P3" i="7" s="1"/>
  <c r="K3" i="7"/>
  <c r="H3" i="7"/>
  <c r="I3" i="7" s="1"/>
  <c r="G3" i="7"/>
  <c r="M3" i="7" s="1"/>
  <c r="F3" i="7"/>
  <c r="M12" i="9" l="1"/>
  <c r="J12" i="9"/>
  <c r="J11" i="9"/>
  <c r="M11" i="9"/>
  <c r="M10" i="9"/>
  <c r="J10" i="9"/>
  <c r="J9" i="9"/>
  <c r="M9" i="9"/>
  <c r="N8" i="9"/>
  <c r="O8" i="9"/>
  <c r="J8" i="9"/>
  <c r="M8" i="9"/>
  <c r="O7" i="9"/>
  <c r="N7" i="9"/>
  <c r="J6" i="9"/>
  <c r="M6" i="9"/>
  <c r="J5" i="9"/>
  <c r="M5" i="9"/>
  <c r="J4" i="9"/>
  <c r="M4" i="9"/>
  <c r="M3" i="9"/>
  <c r="J3" i="9"/>
  <c r="P10" i="7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N6" i="7"/>
  <c r="J7" i="7"/>
  <c r="N9" i="7"/>
  <c r="N12" i="7"/>
  <c r="N3" i="7"/>
  <c r="N10" i="9" l="1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  <c r="O10" i="7"/>
  <c r="N10" i="7"/>
  <c r="O4" i="7"/>
  <c r="N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<sst xmlns="http://schemas.openxmlformats.org/spreadsheetml/2006/main" count="83" uniqueCount="49">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</sst>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" xfId="0" applyFont="1" applyBorder="1"/>
    <xf numFmtId="0" fontId="3" fillId="0" borderId="13" xfId="0" applyFont="1" applyBorder="1"/>
    <xf numFmtId="0" fontId="3" fillId="0" borderId="11" xfId="0" applyFont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164" fontId="3" fillId="0" borderId="14" xfId="1" applyNumberFormat="1" applyFont="1" applyBorder="1" applyAlignment="1"/>
    <xf numFmtId="0" fontId="3" fillId="0" borderId="14" xfId="1" applyNumberFormat="1" applyFont="1" applyBorder="1" applyAlignment="1"/>
    <xf numFmtId="0" fontId="4" fillId="0" borderId="15" xfId="0" applyFont="1" applyBorder="1" applyAlignment="1">
      <alignment horizontal="center" wrapText="1"/>
    </xf>
    <xf numFmtId="0" fontId="3" fillId="0" borderId="15" xfId="0" applyFont="1" applyBorder="1"/>
    <xf numFmtId="0" fontId="4" fillId="0" borderId="16" xfId="0" applyFont="1" applyBorder="1" applyAlignment="1">
      <alignment horizontal="center" wrapText="1"/>
    </xf>
    <xf numFmtId="0" fontId="3" fillId="0" borderId="17" xfId="0" applyFont="1" applyBorder="1"/>
    <xf numFmtId="0" fontId="4" fillId="0" borderId="18" xfId="0" applyFont="1" applyBorder="1"/>
    <xf numFmtId="0" fontId="3" fillId="0" borderId="19" xfId="0" applyFont="1" applyBorder="1"/>
    <xf numFmtId="0" fontId="4" fillId="0" borderId="10" xfId="0" applyFont="1" applyBorder="1"/>
    <xf numFmtId="0" fontId="3" fillId="0" borderId="12" xfId="0" applyFont="1" applyBorder="1"/>
    <xf numFmtId="0" fontId="4" fillId="0" borderId="5" xfId="0" applyFont="1" applyBorder="1"/>
    <xf numFmtId="0" fontId="3" fillId="3" borderId="6" xfId="0" applyFont="1" applyFill="1" applyBorder="1"/>
    <xf numFmtId="0" fontId="3" fillId="0" borderId="8" xfId="0" applyFont="1" applyBorder="1"/>
    <xf numFmtId="0" fontId="3" fillId="3" borderId="9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3" fillId="4" borderId="13" xfId="0" applyFont="1" applyFill="1" applyBorder="1"/>
    <xf numFmtId="0" fontId="3" fillId="4" borderId="19" xfId="0" applyFont="1" applyFill="1" applyBorder="1"/>
    <xf numFmtId="0" fontId="4" fillId="0" borderId="20" xfId="0" applyFont="1" applyBorder="1" applyAlignment="1">
      <alignment horizontal="center" wrapText="1"/>
    </xf>
    <xf numFmtId="0" fontId="3" fillId="0" borderId="20" xfId="0" applyFont="1" applyBorder="1"/>
    <xf numFmtId="0" fontId="4" fillId="0" borderId="1" xfId="0" applyFont="1" applyBorder="1" applyAlignment="1">
      <alignment horizont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5" borderId="6" xfId="0" applyFont="1" applyFill="1" applyBorder="1"/>
    <xf numFmtId="0" fontId="3" fillId="5" borderId="9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Q13" sqref="Q13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14.21875" style="1" hidden="1" customWidth="1"/>
    <col min="12" max="12" width="10.109375" style="1" customWidth="1"/>
    <col min="13" max="13" width="9" style="1" customWidth="1"/>
    <col min="14" max="14" width="10.44140625" style="1" hidden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42" t="s">
        <v>29</v>
      </c>
      <c r="P2" s="44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43" t="b">
        <f>L3*M3=1</f>
        <v>1</v>
      </c>
      <c r="P3" s="18" t="b">
        <f>AND(L3,M3)</f>
        <v>1</v>
      </c>
      <c r="R3" s="10" t="s">
        <v>22</v>
      </c>
      <c r="S3" s="11">
        <v>5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43" t="b">
        <f t="shared" ref="O4:O12" si="9">L4*M4=1</f>
        <v>0</v>
      </c>
      <c r="P4" s="18" t="b">
        <f t="shared" ref="P4:P12" si="10">AND(L4,M4)</f>
        <v>0</v>
      </c>
      <c r="R4" s="12" t="s">
        <v>23</v>
      </c>
      <c r="S4" s="13">
        <v>90000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43" t="b">
        <f t="shared" si="9"/>
        <v>0</v>
      </c>
      <c r="P5" s="18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43" t="b">
        <f t="shared" si="9"/>
        <v>1</v>
      </c>
      <c r="P6" s="18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43" t="b">
        <f t="shared" si="9"/>
        <v>0</v>
      </c>
      <c r="P7" s="18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43" t="b">
        <f t="shared" si="9"/>
        <v>1</v>
      </c>
      <c r="P8" s="18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43" t="b">
        <f t="shared" si="9"/>
        <v>1</v>
      </c>
      <c r="P9" s="18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43" t="b">
        <f t="shared" si="9"/>
        <v>1</v>
      </c>
      <c r="P10" s="18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43" t="b">
        <f t="shared" si="9"/>
        <v>0</v>
      </c>
      <c r="P11" s="18" t="b">
        <f t="shared" si="10"/>
        <v>0</v>
      </c>
    </row>
    <row r="12" spans="2:19" ht="15" thickBot="1" x14ac:dyDescent="0.35">
      <c r="B12" s="45" t="s">
        <v>9</v>
      </c>
      <c r="C12" s="46">
        <v>5</v>
      </c>
      <c r="D12" s="46">
        <v>115000</v>
      </c>
      <c r="E12" s="4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43" t="b">
        <f t="shared" si="9"/>
        <v>1</v>
      </c>
      <c r="P12" s="18" t="b">
        <f t="shared" si="10"/>
        <v>1</v>
      </c>
    </row>
    <row r="13" spans="2:19" x14ac:dyDescent="0.3">
      <c r="B13" s="29" t="s">
        <v>27</v>
      </c>
      <c r="C13" s="40"/>
      <c r="D13" s="40"/>
      <c r="E13" s="41"/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E14" si="11">AVERAGE(D3:D12)</f>
        <v>119000</v>
      </c>
      <c r="E14" s="20">
        <f t="shared" si="11"/>
        <v>10400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2">COUNT(D3:D12)</f>
        <v>10</v>
      </c>
      <c r="E15" s="19">
        <f t="shared" si="12"/>
        <v>10</v>
      </c>
    </row>
    <row r="16" spans="2:19" x14ac:dyDescent="0.3">
      <c r="B16" s="33" t="s">
        <v>31</v>
      </c>
      <c r="C16" s="18">
        <f>COUNTIF($C$3:$C$12,"&lt;=5")</f>
        <v>6</v>
      </c>
      <c r="D16" s="18">
        <f>COUNTIF($D$3:$D$12,"&gt;=90000")</f>
        <v>9</v>
      </c>
      <c r="E16" s="48"/>
    </row>
    <row r="17" spans="2:5" ht="15" thickBot="1" x14ac:dyDescent="0.35">
      <c r="B17" s="12" t="s">
        <v>31</v>
      </c>
      <c r="C17" s="18">
        <f>COUNTIF($C$3:$C$12,"&lt;="&amp;S3)</f>
        <v>6</v>
      </c>
      <c r="D17" s="18">
        <f>COUNTIF($D$3:$D$12,"&gt;="&amp;S4)</f>
        <v>9</v>
      </c>
      <c r="E17" s="4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S17"/>
  <sheetViews>
    <sheetView zoomScale="120" zoomScaleNormal="120" workbookViewId="0">
      <selection activeCell="D16" sqref="D16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14.21875" style="1" hidden="1" customWidth="1"/>
    <col min="12" max="12" width="10.109375" style="1" hidden="1" customWidth="1"/>
    <col min="13" max="13" width="9" style="1" hidden="1" customWidth="1"/>
    <col min="14" max="14" width="10.44140625" style="1" hidden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5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90000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30">
        <f t="shared" si="11"/>
        <v>10400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F14" si="12">AVERAGE(D3:D12)</f>
        <v>119000</v>
      </c>
      <c r="E14" s="32">
        <f t="shared" si="12"/>
        <v>10400</v>
      </c>
      <c r="F14" s="1">
        <f t="shared" si="12"/>
        <v>5.3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30">
        <f t="shared" si="13"/>
        <v>10</v>
      </c>
    </row>
    <row r="16" spans="2:19" x14ac:dyDescent="0.3">
      <c r="B16" s="33" t="s">
        <v>31</v>
      </c>
      <c r="C16" s="18">
        <f>COUNTIF($C$3:$C$12, "&lt;=5")</f>
        <v>6</v>
      </c>
      <c r="D16" s="18">
        <f>COUNTIF($D$3:$D$12, "&gt;=90000")</f>
        <v>9</v>
      </c>
      <c r="E16" s="34"/>
    </row>
    <row r="17" spans="2:5" ht="15" thickBot="1" x14ac:dyDescent="0.35">
      <c r="B17" s="12" t="s">
        <v>31</v>
      </c>
      <c r="C17" s="35">
        <f>COUNTIF($C$3:$C$12, "&lt;=" &amp; S3)</f>
        <v>6</v>
      </c>
      <c r="D17" s="35">
        <f>COUNTIF($D$3:$D$12, "&gt;=" &amp; S4)</f>
        <v>9</v>
      </c>
      <c r="E17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tabSelected="1" zoomScale="140" zoomScaleNormal="140" workbookViewId="0">
      <selection activeCell="D18" sqref="D18"/>
    </sheetView>
  </sheetViews>
  <sheetFormatPr defaultRowHeight="14.4" x14ac:dyDescent="0.3"/>
  <cols>
    <col min="1" max="1" width="2.109375" customWidth="1"/>
    <col min="2" max="2" width="13.44140625" customWidth="1"/>
    <col min="3" max="3" width="31.44140625" bestFit="1" customWidth="1"/>
    <col min="4" max="4" width="60.44140625" bestFit="1" customWidth="1"/>
  </cols>
  <sheetData>
    <row r="2" spans="2:4" x14ac:dyDescent="0.3">
      <c r="B2" s="37" t="s">
        <v>32</v>
      </c>
      <c r="C2" s="37" t="s">
        <v>40</v>
      </c>
      <c r="D2" s="37" t="s">
        <v>33</v>
      </c>
    </row>
    <row r="3" spans="2:4" x14ac:dyDescent="0.3">
      <c r="B3" s="38" t="e">
        <f>1/0</f>
        <v>#DIV/0!</v>
      </c>
      <c r="C3" s="39" t="s">
        <v>41</v>
      </c>
      <c r="D3" s="38" t="s">
        <v>34</v>
      </c>
    </row>
    <row r="4" spans="2:4" x14ac:dyDescent="0.3">
      <c r="B4" s="38" t="e">
        <f>A4 + "text"</f>
        <v>#VALUE!</v>
      </c>
      <c r="C4" s="39" t="s">
        <v>42</v>
      </c>
      <c r="D4" s="38" t="s">
        <v>35</v>
      </c>
    </row>
    <row r="5" spans="2:4" x14ac:dyDescent="0.3">
      <c r="B5" s="9" t="e">
        <f>#REF!</f>
        <v>#REF!</v>
      </c>
      <c r="C5" s="39" t="s">
        <v>43</v>
      </c>
      <c r="D5" s="38" t="s">
        <v>48</v>
      </c>
    </row>
    <row r="6" spans="2:4" x14ac:dyDescent="0.3">
      <c r="B6" s="9" t="e" cm="1">
        <f t="array" aca="1" ref="B6" ca="1">COUNTT(A3:A9)</f>
        <v>#NAME?</v>
      </c>
      <c r="C6" s="39" t="s">
        <v>47</v>
      </c>
      <c r="D6" s="38" t="s">
        <v>36</v>
      </c>
    </row>
    <row r="7" spans="2:4" x14ac:dyDescent="0.3">
      <c r="B7" s="38" t="e">
        <f>VLOOKUP("Value", A1:A10, 2, FALSE)</f>
        <v>#N/A</v>
      </c>
      <c r="C7" s="39" t="s">
        <v>46</v>
      </c>
      <c r="D7" s="38" t="s">
        <v>37</v>
      </c>
    </row>
    <row r="8" spans="2:4" x14ac:dyDescent="0.3">
      <c r="B8" s="38" t="e">
        <f>SQRT(-1)</f>
        <v>#NUM!</v>
      </c>
      <c r="C8" s="39" t="s">
        <v>44</v>
      </c>
      <c r="D8" s="38" t="s">
        <v>38</v>
      </c>
    </row>
    <row r="9" spans="2:4" x14ac:dyDescent="0.3">
      <c r="B9" s="38" t="e">
        <f>SUM(A1:A10 C1:C10)</f>
        <v>#NULL!</v>
      </c>
      <c r="C9" s="39" t="s">
        <v>45</v>
      </c>
      <c r="D9" s="38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Final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musharraf.dhalwala18@outlook.com</cp:lastModifiedBy>
  <dcterms:created xsi:type="dcterms:W3CDTF">2024-07-16T20:11:02Z</dcterms:created>
  <dcterms:modified xsi:type="dcterms:W3CDTF">2026-06-09T13:31:16Z</dcterms:modified>
</cp:coreProperties>
</file>