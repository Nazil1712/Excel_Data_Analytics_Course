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1 Visual Studio Code\Personal\DOA\1_Excel_DOA_Course\Excel_Data_Analytics_Course\2_Formulas_Functions\"/>
    </mc:Choice>
  </mc:AlternateContent>
  <xr:revisionPtr revIDLastSave="0" documentId="13_ncr:1_{393F6D00-3C1E-4CAB-95D7-262FBD817387}" xr6:coauthVersionLast="47" xr6:coauthVersionMax="47" xr10:uidLastSave="{00000000-0000-0000-0000-000000000000}"/>
  <bookViews>
    <workbookView xWindow="-108" yWindow="-108" windowWidth="23256" windowHeight="12456" activeTab="3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0" l="1" a="1"/>
  <c r="R3" i="10" s="1"/>
  <c r="R4" i="10" a="1"/>
  <c r="R4" i="10"/>
  <c r="R5" i="10" a="1"/>
  <c r="R5" i="10" s="1"/>
  <c r="R6" i="10" a="1"/>
  <c r="R6" i="10"/>
  <c r="R7" i="10" a="1"/>
  <c r="R7" i="10"/>
  <c r="R8" i="10" a="1"/>
  <c r="R8" i="10" s="1"/>
  <c r="R9" i="10" a="1"/>
  <c r="R9" i="10" s="1"/>
  <c r="R10" i="10" a="1"/>
  <c r="R10" i="10"/>
  <c r="R11" i="10" a="1"/>
  <c r="R11" i="10"/>
  <c r="R12" i="10" a="1"/>
  <c r="R12" i="10"/>
  <c r="R13" i="10" a="1"/>
  <c r="R13" i="10"/>
  <c r="R14" i="10" a="1"/>
  <c r="R14" i="10"/>
  <c r="R15" i="10" a="1"/>
  <c r="R15" i="10" s="1"/>
  <c r="R16" i="10" a="1"/>
  <c r="R16" i="10"/>
  <c r="R17" i="10" a="1"/>
  <c r="R17" i="10"/>
  <c r="R18" i="10" a="1"/>
  <c r="R18" i="10"/>
  <c r="R19" i="10" a="1"/>
  <c r="R19" i="10"/>
  <c r="R20" i="10" a="1"/>
  <c r="R20" i="10"/>
  <c r="R21" i="10" a="1"/>
  <c r="R21" i="10" s="1"/>
  <c r="R2" i="10" a="1"/>
  <c r="R2" i="10" s="1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" i="10"/>
  <c r="E4" i="12"/>
  <c r="E5" i="12"/>
  <c r="E6" i="12"/>
  <c r="E3" i="12"/>
  <c r="D4" i="12"/>
  <c r="D5" i="12"/>
  <c r="D6" i="12"/>
  <c r="D3" i="12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" i="10"/>
  <c r="L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Q4" i="7"/>
  <c r="Q5" i="7"/>
  <c r="Q6" i="7"/>
  <c r="Q7" i="7"/>
  <c r="Q8" i="7"/>
  <c r="Q9" i="7"/>
  <c r="Q10" i="7"/>
  <c r="Q11" i="7"/>
  <c r="Q12" i="7"/>
  <c r="Q3" i="7"/>
  <c r="M2" i="11"/>
  <c r="XFD1" i="11"/>
  <c r="F4" i="8"/>
  <c r="F5" i="8"/>
  <c r="F7" i="8"/>
  <c r="F8" i="8"/>
  <c r="F9" i="8"/>
  <c r="F3" i="8"/>
  <c r="E4" i="8"/>
  <c r="E5" i="8"/>
  <c r="E7" i="8"/>
  <c r="E8" i="8"/>
  <c r="E9" i="8"/>
  <c r="E3" i="8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3" i="11" a="1"/>
  <c r="R3" i="11" s="1"/>
  <c r="R4" i="11" a="1"/>
  <c r="R4" i="11" s="1"/>
  <c r="R5" i="11" a="1"/>
  <c r="R5" i="11" s="1"/>
  <c r="R6" i="11" a="1"/>
  <c r="R6" i="11" s="1"/>
  <c r="R7" i="11" a="1"/>
  <c r="R7" i="11" s="1"/>
  <c r="R8" i="11" a="1"/>
  <c r="R8" i="11" s="1"/>
  <c r="R9" i="11" a="1"/>
  <c r="R9" i="11" s="1"/>
  <c r="R10" i="11" a="1"/>
  <c r="R10" i="11" s="1"/>
  <c r="R11" i="11" a="1"/>
  <c r="R11" i="11"/>
  <c r="R12" i="11" a="1"/>
  <c r="R12" i="11" s="1"/>
  <c r="R13" i="11" a="1"/>
  <c r="R13" i="11" s="1"/>
  <c r="R14" i="11" a="1"/>
  <c r="R14" i="11" s="1"/>
  <c r="R15" i="11" a="1"/>
  <c r="R15" i="11" s="1"/>
  <c r="R16" i="11" a="1"/>
  <c r="R16" i="11" s="1"/>
  <c r="R17" i="11" a="1"/>
  <c r="R17" i="11" s="1"/>
  <c r="R18" i="11" a="1"/>
  <c r="R18" i="11" s="1"/>
  <c r="R19" i="11" a="1"/>
  <c r="R19" i="11"/>
  <c r="R20" i="11" a="1"/>
  <c r="R20" i="11" s="1"/>
  <c r="R21" i="11" a="1"/>
  <c r="R21" i="11" s="1"/>
  <c r="R2" i="11" a="1"/>
  <c r="R2" i="11" s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B6" i="8" s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L3" i="7"/>
  <c r="P3" i="7" s="1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Q3" i="9" s="1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<sst xmlns="http://schemas.openxmlformats.org/spreadsheetml/2006/main" count="395" uniqueCount="144">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</sst>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2" fillId="3" borderId="1" xfId="0" quotePrefix="1" applyFont="1" applyFill="1" applyBorder="1"/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  <xf numFmtId="0" fontId="2" fillId="3" borderId="20" xfId="0" applyFont="1" applyFill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2" fillId="3" borderId="23" xfId="0" quotePrefix="1" applyFont="1" applyFill="1" applyBorder="1" applyAlignment="1">
      <alignment horizontal="center"/>
    </xf>
    <xf numFmtId="0" fontId="0" fillId="0" borderId="24" xfId="0" applyBorder="1"/>
    <xf numFmtId="0" fontId="2" fillId="3" borderId="1" xfId="0" quotePrefix="1" applyFont="1" applyFill="1" applyBorder="1" applyAlignment="1">
      <alignment horizontal="center"/>
    </xf>
    <xf numFmtId="0" fontId="0" fillId="0" borderId="25" xfId="0" applyBorder="1"/>
    <xf numFmtId="0" fontId="6" fillId="0" borderId="26" xfId="0" quotePrefix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topLeftCell="A7" zoomScale="145" zoomScaleNormal="145" workbookViewId="0">
      <selection activeCell="P11" sqref="P11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customWidth="1"/>
    <col min="13" max="13" width="9.109375" style="1" customWidth="1"/>
    <col min="14" max="14" width="10.44140625" style="1" hidden="1" customWidth="1"/>
    <col min="15" max="15" width="14.109375" style="1" hidden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 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 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zoomScale="120" zoomScaleNormal="120" workbookViewId="0">
      <selection activeCell="S6" sqref="S6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hidden="1" customWidth="1"/>
    <col min="13" max="13" width="9.109375" style="1" hidden="1" customWidth="1"/>
    <col min="14" max="14" width="10.44140625" style="1" hidden="1" customWidth="1"/>
    <col min="15" max="15" width="14.109375" style="1" hidden="1" customWidth="1"/>
    <col min="16" max="16" width="9.6640625" style="1" hidden="1" customWidth="1"/>
    <col min="17" max="17" width="9.6640625" style="1" customWidth="1"/>
    <col min="18" max="18" width="9.109375" style="1"/>
    <col min="19" max="19" width="14.109375" style="1" bestFit="1" customWidth="1"/>
    <col min="20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topLeftCell="H1" zoomScale="160" zoomScaleNormal="160" workbookViewId="0">
      <selection activeCell="O10" sqref="O9:O10"/>
    </sheetView>
  </sheetViews>
  <sheetFormatPr defaultRowHeight="14.4" x14ac:dyDescent="0.3"/>
  <cols>
    <col min="1" max="1" width="16.88671875" bestFit="1" customWidth="1"/>
    <col min="2" max="2" width="19.10937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4" bestFit="1" customWidth="1"/>
    <col min="9" max="9" width="19" hidden="1" customWidth="1"/>
    <col min="10" max="10" width="68.109375" hidden="1" customWidth="1"/>
    <col min="11" max="11" width="11" bestFit="1" customWidth="1"/>
    <col min="12" max="12" width="14.21875" bestFit="1" customWidth="1"/>
    <col min="13" max="13" width="11.109375" bestFit="1" customWidth="1"/>
    <col min="14" max="14" width="6.5546875" bestFit="1" customWidth="1"/>
    <col min="15" max="15" width="6" bestFit="1" customWidth="1"/>
    <col min="16" max="16" width="11.109375" bestFit="1" customWidth="1"/>
    <col min="17" max="18" width="11.6640625" bestFit="1" customWidth="1"/>
  </cols>
  <sheetData>
    <row r="1" spans="1:18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3">
      <c r="A2" s="27" t="s">
        <v>56</v>
      </c>
      <c r="B2" s="41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IF($A2=K$1,"Role Desired","NOT Desired")</f>
        <v>NOT Desired</v>
      </c>
      <c r="L2" t="str">
        <f>IF($A2=L$1,"Role Desired","NOT Desired")</f>
        <v>NOT Desired</v>
      </c>
      <c r="M2" t="str">
        <f>IF($A2=K$1,"Role Desired",IF($A2=L$1,"Role Desired","NOT Desired"))</f>
        <v>NOT Desired</v>
      </c>
      <c r="N2" t="b">
        <f>AND($A2=K$1,$A2=L$1)</f>
        <v>0</v>
      </c>
      <c r="O2" t="b">
        <f>OR($A2=K$1,$A2=L$1)</f>
        <v>0</v>
      </c>
      <c r="P2" t="str">
        <f>IF(OR($A2=K$1,$A2=L$1),"Role Desired","NOT Desired")</f>
        <v>NOT Desired</v>
      </c>
      <c r="Q2" t="str">
        <f>IF($H2&gt;$Q$1,"Salary &gt; $85K","Salary Low")</f>
        <v>Salary &gt; $85K</v>
      </c>
      <c r="R2" t="str" cm="1">
        <f t="array" ref="R2">_xlfn.IFS($H2="","No Data", $H2 &gt; $Q$1, "Salary &gt; $85K", TRUE, "Salary Low")</f>
        <v>Salary &gt; $85K</v>
      </c>
    </row>
    <row r="3" spans="1:18" x14ac:dyDescent="0.3">
      <c r="A3" s="27" t="s">
        <v>2</v>
      </c>
      <c r="B3" s="41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L21" si="0">IF($A3=K$1,"Role Desired","NOT Desired")</f>
        <v>Role Desired</v>
      </c>
      <c r="L3" t="str">
        <f t="shared" si="0"/>
        <v>NOT Desired</v>
      </c>
      <c r="M3" t="str">
        <f t="shared" ref="M3:M21" si="1">IF($A3=K$1,"Role Desired",IF($A3=L$1,"Role Desired","NOT Desired"))</f>
        <v>Role Desired</v>
      </c>
      <c r="N3" t="b">
        <f t="shared" ref="N3:N21" si="2">AND($A3=K$1,$A3=L$1)</f>
        <v>0</v>
      </c>
      <c r="O3" t="b">
        <f t="shared" ref="O3:O21" si="3">OR($A3=K$1,$A3=L$1)</f>
        <v>1</v>
      </c>
      <c r="P3" t="str">
        <f t="shared" ref="P3:P21" si="4">IF(OR($A3=K$1,$A3=L$1),"Role Desired","NOT Desired")</f>
        <v>Role Desired</v>
      </c>
      <c r="Q3" t="str">
        <f t="shared" ref="Q3:Q21" si="5">IF($H3&gt;$Q$1,"Salary &gt; $85K","Salary Low")</f>
        <v>Salary Low</v>
      </c>
      <c r="R3" t="str" cm="1">
        <f t="array" ref="R3">_xlfn.IFS($H3="","No Data", $H3 &gt; $Q$1, "Salary &gt; $85K", TRUE, "Salary Low")</f>
        <v>Salary Low</v>
      </c>
    </row>
    <row r="4" spans="1:18" x14ac:dyDescent="0.3">
      <c r="A4" s="27" t="s">
        <v>2</v>
      </c>
      <c r="B4" s="41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t="str">
        <f t="shared" si="0"/>
        <v>NOT Desired</v>
      </c>
      <c r="M4" t="str">
        <f t="shared" si="1"/>
        <v>Role Desired</v>
      </c>
      <c r="N4" t="b">
        <f t="shared" si="2"/>
        <v>0</v>
      </c>
      <c r="O4" t="b">
        <f t="shared" si="3"/>
        <v>1</v>
      </c>
      <c r="P4" t="str">
        <f t="shared" si="4"/>
        <v>Role Desired</v>
      </c>
      <c r="Q4" t="str">
        <f t="shared" si="5"/>
        <v>Salary Low</v>
      </c>
      <c r="R4" t="str" cm="1">
        <f t="array" ref="R4">_xlfn.IFS($H4="","No Data", $H4 &gt; $Q$1, "Salary &gt; $85K", TRUE, "Salary Low")</f>
        <v>No Data</v>
      </c>
    </row>
    <row r="5" spans="1:18" x14ac:dyDescent="0.3">
      <c r="A5" s="27" t="s">
        <v>0</v>
      </c>
      <c r="B5" s="41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t="str">
        <f t="shared" si="0"/>
        <v>NOT Desired</v>
      </c>
      <c r="M5" t="str">
        <f t="shared" si="1"/>
        <v>NOT Desired</v>
      </c>
      <c r="N5" t="b">
        <f t="shared" si="2"/>
        <v>0</v>
      </c>
      <c r="O5" t="b">
        <f t="shared" si="3"/>
        <v>0</v>
      </c>
      <c r="P5" t="str">
        <f t="shared" si="4"/>
        <v>NOT Desired</v>
      </c>
      <c r="Q5" t="str">
        <f t="shared" si="5"/>
        <v>Salary Low</v>
      </c>
      <c r="R5" t="str" cm="1">
        <f t="array" ref="R5">_xlfn.IFS($H5="","No Data", $H5 &gt; $Q$1, "Salary &gt; $85K", TRUE, "Salary Low")</f>
        <v>No Data</v>
      </c>
    </row>
    <row r="6" spans="1:18" x14ac:dyDescent="0.3">
      <c r="A6" s="27" t="s">
        <v>76</v>
      </c>
      <c r="B6" s="41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 t="shared" si="0"/>
        <v>NOT Desired</v>
      </c>
      <c r="L6" t="str">
        <f t="shared" si="0"/>
        <v>NOT Desired</v>
      </c>
      <c r="M6" t="str">
        <f t="shared" si="1"/>
        <v>NOT Desired</v>
      </c>
      <c r="N6" t="b">
        <f t="shared" si="2"/>
        <v>0</v>
      </c>
      <c r="O6" t="b">
        <f t="shared" si="3"/>
        <v>0</v>
      </c>
      <c r="P6" t="str">
        <f t="shared" si="4"/>
        <v>NOT Desired</v>
      </c>
      <c r="Q6" t="str">
        <f t="shared" si="5"/>
        <v>Salary Low</v>
      </c>
      <c r="R6" t="str" cm="1">
        <f t="array" ref="R6">_xlfn.IFS($H6="","No Data", $H6 &gt; $Q$1, "Salary &gt; $85K", TRUE, "Salary Low")</f>
        <v>No Data</v>
      </c>
    </row>
    <row r="7" spans="1:18" x14ac:dyDescent="0.3">
      <c r="A7" s="27" t="s">
        <v>0</v>
      </c>
      <c r="B7" s="41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t="str">
        <f t="shared" si="0"/>
        <v>NOT Desired</v>
      </c>
      <c r="M7" t="str">
        <f t="shared" si="1"/>
        <v>NOT Desired</v>
      </c>
      <c r="N7" t="b">
        <f t="shared" si="2"/>
        <v>0</v>
      </c>
      <c r="O7" t="b">
        <f t="shared" si="3"/>
        <v>0</v>
      </c>
      <c r="P7" t="str">
        <f t="shared" si="4"/>
        <v>NOT Desired</v>
      </c>
      <c r="Q7" t="str">
        <f t="shared" si="5"/>
        <v>Salary Low</v>
      </c>
      <c r="R7" t="str" cm="1">
        <f t="array" ref="R7">_xlfn.IFS($H7="","No Data", $H7 &gt; $Q$1, "Salary &gt; $85K", TRUE, "Salary Low")</f>
        <v>No Data</v>
      </c>
    </row>
    <row r="8" spans="1:18" x14ac:dyDescent="0.3">
      <c r="A8" s="27" t="s">
        <v>2</v>
      </c>
      <c r="B8" s="41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t="str">
        <f t="shared" si="0"/>
        <v>NOT Desired</v>
      </c>
      <c r="M8" t="str">
        <f t="shared" si="1"/>
        <v>Role Desired</v>
      </c>
      <c r="N8" t="b">
        <f t="shared" si="2"/>
        <v>0</v>
      </c>
      <c r="O8" t="b">
        <f t="shared" si="3"/>
        <v>1</v>
      </c>
      <c r="P8" t="str">
        <f t="shared" si="4"/>
        <v>Role Desired</v>
      </c>
      <c r="Q8" t="str">
        <f t="shared" si="5"/>
        <v>Salary Low</v>
      </c>
      <c r="R8" t="str" cm="1">
        <f t="array" ref="R8">_xlfn.IFS($H8="","No Data", $H8 &gt; $Q$1, "Salary &gt; $85K", TRUE, "Salary Low")</f>
        <v>No Data</v>
      </c>
    </row>
    <row r="9" spans="1:18" x14ac:dyDescent="0.3">
      <c r="A9" s="27" t="s">
        <v>2</v>
      </c>
      <c r="B9" s="41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t="str">
        <f t="shared" si="0"/>
        <v>NOT Desired</v>
      </c>
      <c r="M9" t="str">
        <f t="shared" si="1"/>
        <v>Role Desired</v>
      </c>
      <c r="N9" t="b">
        <f t="shared" si="2"/>
        <v>0</v>
      </c>
      <c r="O9" t="b">
        <f t="shared" si="3"/>
        <v>1</v>
      </c>
      <c r="P9" t="str">
        <f t="shared" si="4"/>
        <v>Role Desired</v>
      </c>
      <c r="Q9" t="str">
        <f t="shared" si="5"/>
        <v>Salary &gt; $85K</v>
      </c>
      <c r="R9" t="str" cm="1">
        <f t="array" ref="R9">_xlfn.IFS($H9="","No Data", $H9 &gt; $Q$1, "Salary &gt; $85K", TRUE, "Salary Low")</f>
        <v>Salary &gt; $85K</v>
      </c>
    </row>
    <row r="10" spans="1:18" x14ac:dyDescent="0.3">
      <c r="A10" s="27" t="s">
        <v>2</v>
      </c>
      <c r="B10" s="41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t="str">
        <f t="shared" si="0"/>
        <v>NOT Desired</v>
      </c>
      <c r="M10" t="str">
        <f t="shared" si="1"/>
        <v>Role Desired</v>
      </c>
      <c r="N10" t="b">
        <f t="shared" si="2"/>
        <v>0</v>
      </c>
      <c r="O10" t="b">
        <f t="shared" si="3"/>
        <v>1</v>
      </c>
      <c r="P10" t="str">
        <f t="shared" si="4"/>
        <v>Role Desired</v>
      </c>
      <c r="Q10" t="str">
        <f t="shared" si="5"/>
        <v>Salary Low</v>
      </c>
      <c r="R10" t="str" cm="1">
        <f t="array" ref="R10">_xlfn.IFS($H10="","No Data", $H10 &gt; $Q$1, "Salary &gt; $85K", TRUE, "Salary Low")</f>
        <v>No Data</v>
      </c>
    </row>
    <row r="11" spans="1:18" x14ac:dyDescent="0.3">
      <c r="A11" s="27" t="s">
        <v>2</v>
      </c>
      <c r="B11" s="41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t="str">
        <f t="shared" si="0"/>
        <v>NOT Desired</v>
      </c>
      <c r="M11" t="str">
        <f t="shared" si="1"/>
        <v>Role Desired</v>
      </c>
      <c r="N11" t="b">
        <f t="shared" si="2"/>
        <v>0</v>
      </c>
      <c r="O11" t="b">
        <f t="shared" si="3"/>
        <v>1</v>
      </c>
      <c r="P11" t="str">
        <f t="shared" si="4"/>
        <v>Role Desired</v>
      </c>
      <c r="Q11" t="str">
        <f t="shared" si="5"/>
        <v>Salary &gt; $85K</v>
      </c>
      <c r="R11" t="str" cm="1">
        <f t="array" ref="R11">_xlfn.IFS($H11="","No Data", $H11 &gt; $Q$1, "Salary &gt; $85K", TRUE, "Salary Low")</f>
        <v>Salary &gt; $85K</v>
      </c>
    </row>
    <row r="12" spans="1:18" x14ac:dyDescent="0.3">
      <c r="A12" s="27" t="s">
        <v>0</v>
      </c>
      <c r="B12" s="41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t="str">
        <f t="shared" si="0"/>
        <v>NOT Desired</v>
      </c>
      <c r="M12" t="str">
        <f t="shared" si="1"/>
        <v>NOT Desired</v>
      </c>
      <c r="N12" t="b">
        <f t="shared" si="2"/>
        <v>0</v>
      </c>
      <c r="O12" t="b">
        <f t="shared" si="3"/>
        <v>0</v>
      </c>
      <c r="P12" t="str">
        <f t="shared" si="4"/>
        <v>NOT Desired</v>
      </c>
      <c r="Q12" t="str">
        <f t="shared" si="5"/>
        <v>Salary &gt; $85K</v>
      </c>
      <c r="R12" t="str" cm="1">
        <f t="array" ref="R12">_xlfn.IFS($H12="","No Data", $H12 &gt; $Q$1, "Salary &gt; $85K", TRUE, "Salary Low")</f>
        <v>Salary &gt; $85K</v>
      </c>
    </row>
    <row r="13" spans="1:18" x14ac:dyDescent="0.3">
      <c r="A13" s="27" t="s">
        <v>102</v>
      </c>
      <c r="B13" s="41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t="str">
        <f t="shared" si="0"/>
        <v>NOT Desired</v>
      </c>
      <c r="M13" t="str">
        <f t="shared" si="1"/>
        <v>NOT Desired</v>
      </c>
      <c r="N13" t="b">
        <f t="shared" si="2"/>
        <v>0</v>
      </c>
      <c r="O13" t="b">
        <f t="shared" si="3"/>
        <v>0</v>
      </c>
      <c r="P13" t="str">
        <f t="shared" si="4"/>
        <v>NOT Desired</v>
      </c>
      <c r="Q13" t="str">
        <f t="shared" si="5"/>
        <v>Salary &gt; $85K</v>
      </c>
      <c r="R13" t="str" cm="1">
        <f t="array" ref="R13">_xlfn.IFS($H13="","No Data", $H13 &gt; $Q$1, "Salary &gt; $85K", TRUE, "Salary Low")</f>
        <v>Salary &gt; $85K</v>
      </c>
    </row>
    <row r="14" spans="1:18" x14ac:dyDescent="0.3">
      <c r="A14" s="27" t="s">
        <v>0</v>
      </c>
      <c r="B14" s="41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t="str">
        <f t="shared" si="0"/>
        <v>NOT Desired</v>
      </c>
      <c r="M14" t="str">
        <f t="shared" si="1"/>
        <v>NOT Desired</v>
      </c>
      <c r="N14" t="b">
        <f t="shared" si="2"/>
        <v>0</v>
      </c>
      <c r="O14" t="b">
        <f t="shared" si="3"/>
        <v>0</v>
      </c>
      <c r="P14" t="str">
        <f t="shared" si="4"/>
        <v>NOT Desired</v>
      </c>
      <c r="Q14" t="str">
        <f t="shared" si="5"/>
        <v>Salary &gt; $85K</v>
      </c>
      <c r="R14" t="str" cm="1">
        <f t="array" ref="R14">_xlfn.IFS($H14="","No Data", $H14 &gt; $Q$1, "Salary &gt; $85K", TRUE, "Salary Low")</f>
        <v>Salary &gt; $85K</v>
      </c>
    </row>
    <row r="15" spans="1:18" x14ac:dyDescent="0.3">
      <c r="A15" s="27" t="s">
        <v>0</v>
      </c>
      <c r="B15" s="41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t="str">
        <f t="shared" si="0"/>
        <v>NOT Desired</v>
      </c>
      <c r="M15" t="str">
        <f t="shared" si="1"/>
        <v>NOT Desired</v>
      </c>
      <c r="N15" t="b">
        <f t="shared" si="2"/>
        <v>0</v>
      </c>
      <c r="O15" t="b">
        <f t="shared" si="3"/>
        <v>0</v>
      </c>
      <c r="P15" t="str">
        <f t="shared" si="4"/>
        <v>NOT Desired</v>
      </c>
      <c r="Q15" t="str">
        <f t="shared" si="5"/>
        <v>Salary Low</v>
      </c>
      <c r="R15" t="str" cm="1">
        <f t="array" ref="R15">_xlfn.IFS($H15="","No Data", $H15 &gt; $Q$1, "Salary &gt; $85K", TRUE, "Salary Low")</f>
        <v>Salary Low</v>
      </c>
    </row>
    <row r="16" spans="1:18" x14ac:dyDescent="0.3">
      <c r="A16" s="27" t="s">
        <v>4</v>
      </c>
      <c r="B16" s="41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t="str">
        <f t="shared" si="0"/>
        <v>NOT Desired</v>
      </c>
      <c r="M16" t="str">
        <f t="shared" si="1"/>
        <v>NOT Desired</v>
      </c>
      <c r="N16" t="b">
        <f t="shared" si="2"/>
        <v>0</v>
      </c>
      <c r="O16" t="b">
        <f t="shared" si="3"/>
        <v>0</v>
      </c>
      <c r="P16" t="str">
        <f t="shared" si="4"/>
        <v>NOT Desired</v>
      </c>
      <c r="Q16" t="str">
        <f t="shared" si="5"/>
        <v>Salary &gt; $85K</v>
      </c>
      <c r="R16" t="str" cm="1">
        <f t="array" ref="R16">_xlfn.IFS($H16="","No Data", $H16 &gt; $Q$1, "Salary &gt; $85K", TRUE, "Salary Low")</f>
        <v>Salary &gt; $85K</v>
      </c>
    </row>
    <row r="17" spans="1:18" x14ac:dyDescent="0.3">
      <c r="A17" s="27" t="s">
        <v>4</v>
      </c>
      <c r="B17" s="41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t="str">
        <f t="shared" si="0"/>
        <v>NOT Desired</v>
      </c>
      <c r="M17" t="str">
        <f t="shared" si="1"/>
        <v>NOT Desired</v>
      </c>
      <c r="N17" t="b">
        <f t="shared" si="2"/>
        <v>0</v>
      </c>
      <c r="O17" t="b">
        <f t="shared" si="3"/>
        <v>0</v>
      </c>
      <c r="P17" t="str">
        <f t="shared" si="4"/>
        <v>NOT Desired</v>
      </c>
      <c r="Q17" t="str">
        <f t="shared" si="5"/>
        <v>Salary &gt; $85K</v>
      </c>
      <c r="R17" t="str" cm="1">
        <f t="array" ref="R17">_xlfn.IFS($H17="","No Data", $H17 &gt; $Q$1, "Salary &gt; $85K", TRUE, "Salary Low")</f>
        <v>Salary &gt; $85K</v>
      </c>
    </row>
    <row r="18" spans="1:18" x14ac:dyDescent="0.3">
      <c r="A18" s="27" t="s">
        <v>123</v>
      </c>
      <c r="B18" s="41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t="str">
        <f t="shared" si="0"/>
        <v>Role Desired</v>
      </c>
      <c r="M18" t="str">
        <f t="shared" si="1"/>
        <v>Role Desired</v>
      </c>
      <c r="N18" t="b">
        <f t="shared" si="2"/>
        <v>0</v>
      </c>
      <c r="O18" t="b">
        <f t="shared" si="3"/>
        <v>1</v>
      </c>
      <c r="P18" t="str">
        <f t="shared" si="4"/>
        <v>Role Desired</v>
      </c>
      <c r="Q18" t="str">
        <f t="shared" si="5"/>
        <v>Salary Low</v>
      </c>
      <c r="R18" t="str" cm="1">
        <f t="array" ref="R18">_xlfn.IFS($H18="","No Data", $H18 &gt; $Q$1, "Salary &gt; $85K", TRUE, "Salary Low")</f>
        <v>No Data</v>
      </c>
    </row>
    <row r="19" spans="1:18" x14ac:dyDescent="0.3">
      <c r="A19" s="27" t="s">
        <v>0</v>
      </c>
      <c r="B19" s="41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t="str">
        <f t="shared" si="0"/>
        <v>NOT Desired</v>
      </c>
      <c r="M19" t="str">
        <f t="shared" si="1"/>
        <v>NOT Desired</v>
      </c>
      <c r="N19" t="b">
        <f t="shared" si="2"/>
        <v>0</v>
      </c>
      <c r="O19" t="b">
        <f t="shared" si="3"/>
        <v>0</v>
      </c>
      <c r="P19" t="str">
        <f t="shared" si="4"/>
        <v>NOT Desired</v>
      </c>
      <c r="Q19" t="str">
        <f t="shared" si="5"/>
        <v>Salary &gt; $85K</v>
      </c>
      <c r="R19" t="str" cm="1">
        <f t="array" ref="R19">_xlfn.IFS($H19="","No Data", $H19 &gt; $Q$1, "Salary &gt; $85K", TRUE, "Salary Low")</f>
        <v>Salary &gt; $85K</v>
      </c>
    </row>
    <row r="20" spans="1:18" x14ac:dyDescent="0.3">
      <c r="A20" s="27" t="s">
        <v>0</v>
      </c>
      <c r="B20" s="41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t="str">
        <f t="shared" si="0"/>
        <v>NOT Desired</v>
      </c>
      <c r="M20" t="str">
        <f t="shared" si="1"/>
        <v>NOT Desired</v>
      </c>
      <c r="N20" t="b">
        <f t="shared" si="2"/>
        <v>0</v>
      </c>
      <c r="O20" t="b">
        <f t="shared" si="3"/>
        <v>0</v>
      </c>
      <c r="P20" t="str">
        <f t="shared" si="4"/>
        <v>NOT Desired</v>
      </c>
      <c r="Q20" t="str">
        <f t="shared" si="5"/>
        <v>Salary Low</v>
      </c>
      <c r="R20" t="str" cm="1">
        <f t="array" ref="R20">_xlfn.IFS($H20="","No Data", $H20 &gt; $Q$1, "Salary &gt; $85K", TRUE, "Salary Low")</f>
        <v>No Data</v>
      </c>
    </row>
    <row r="21" spans="1:18" x14ac:dyDescent="0.3">
      <c r="A21" s="27" t="s">
        <v>123</v>
      </c>
      <c r="B21" s="41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t="str">
        <f t="shared" si="0"/>
        <v>Role Desired</v>
      </c>
      <c r="M21" t="str">
        <f t="shared" si="1"/>
        <v>Role Desired</v>
      </c>
      <c r="N21" t="b">
        <f t="shared" si="2"/>
        <v>0</v>
      </c>
      <c r="O21" t="b">
        <f t="shared" si="3"/>
        <v>1</v>
      </c>
      <c r="P21" t="str">
        <f t="shared" si="4"/>
        <v>Role Desired</v>
      </c>
      <c r="Q21" t="str">
        <f t="shared" si="5"/>
        <v>Salary &gt; $85K</v>
      </c>
      <c r="R21" t="str" cm="1">
        <f t="array" ref="R21">_xlfn.IFS($H21="","No Data", $H21 &gt; $Q$1, "Salary &gt; $85K", TRUE, "Salary Low")</f>
        <v>Salary &gt; $85K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tabSelected="1" workbookViewId="0">
      <selection activeCell="V7" sqref="V7"/>
    </sheetView>
  </sheetViews>
  <sheetFormatPr defaultRowHeight="14.4" x14ac:dyDescent="0.3"/>
  <cols>
    <col min="1" max="1" width="16.88671875" bestFit="1" customWidth="1"/>
    <col min="2" max="2" width="17.4414062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3.88671875" bestFit="1" customWidth="1"/>
    <col min="9" max="9" width="19" hidden="1" customWidth="1"/>
    <col min="10" max="10" width="68.109375" hidden="1" customWidth="1"/>
    <col min="11" max="11" width="15.88671875" bestFit="1" customWidth="1"/>
    <col min="12" max="12" width="19.109375" bestFit="1" customWidth="1"/>
    <col min="13" max="13" width="14.21875" bestFit="1" customWidth="1"/>
    <col min="14" max="14" width="11.21875" bestFit="1" customWidth="1"/>
    <col min="15" max="15" width="10.109375" bestFit="1" customWidth="1"/>
    <col min="16" max="16" width="14.21875" bestFit="1" customWidth="1"/>
    <col min="17" max="17" width="10.6640625" bestFit="1" customWidth="1"/>
    <col min="18" max="18" width="12.44140625" bestFit="1" customWidth="1"/>
  </cols>
  <sheetData>
    <row r="1" spans="1:21 16384:16384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0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T1" s="49"/>
      <c r="U1" s="49"/>
      <c r="XFD1">
        <f>SUM(Q1:XFC1)</f>
        <v>85000</v>
      </c>
    </row>
    <row r="2" spans="1:21 16384:16384" x14ac:dyDescent="0.3">
      <c r="A2" s="27" t="s">
        <v>56</v>
      </c>
      <c r="B2" s="41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str" cm="1">
        <f t="array" ref="R2">_xlfn.IFS(H2="", "No Data", H2&gt;=$Q$1, "Salary &gt; 85K", TRUE, "Salary Low")</f>
        <v>Salary &gt; 85K</v>
      </c>
    </row>
    <row r="3" spans="1:21 16384:16384" x14ac:dyDescent="0.3">
      <c r="A3" s="27" t="s">
        <v>2</v>
      </c>
      <c r="B3" s="41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 t="shared" ref="N3:N21" si="3">AND($A3=$K$1, $A3=$L$1)</f>
        <v>0</v>
      </c>
      <c r="O3" t="b">
        <f t="shared" ref="O3:O21" si="4">OR($A3=$K$1, $A3=$L$1)</f>
        <v>1</v>
      </c>
      <c r="P3" t="str">
        <f t="shared" ref="P3:P21" si="5">IF(OR($A3=$K$1, $A3=$L$1), "Role Desired", "NOT Desired")</f>
        <v>Role Desired</v>
      </c>
      <c r="Q3" t="str">
        <f t="shared" ref="Q3:Q21" si="6">IF($H3&gt;$Q$1, "Salary &gt; 85K", "Salary Low")</f>
        <v>Salary Low</v>
      </c>
      <c r="R3" t="str" cm="1">
        <f t="array" ref="R3">_xlfn.IFS(H3="", "No Data", H3&gt;=$Q$1, "Salary &gt; 85K", TRUE, "Salary Low")</f>
        <v>Salary Low</v>
      </c>
    </row>
    <row r="4" spans="1:21 16384:16384" x14ac:dyDescent="0.3">
      <c r="A4" s="27" t="s">
        <v>2</v>
      </c>
      <c r="B4" s="41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  <c r="P4" t="str">
        <f t="shared" si="5"/>
        <v>Role Desired</v>
      </c>
      <c r="Q4" t="str">
        <f t="shared" si="6"/>
        <v>Salary Low</v>
      </c>
      <c r="R4" t="str" cm="1">
        <f t="array" ref="R4">_xlfn.IFS(H4="", "No Data", H4&gt;=$Q$1, "Salary &gt; 85K", TRUE, "Salary Low")</f>
        <v>No Data</v>
      </c>
    </row>
    <row r="5" spans="1:21 16384:16384" x14ac:dyDescent="0.3">
      <c r="A5" s="27" t="s">
        <v>0</v>
      </c>
      <c r="B5" s="41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  <c r="P5" t="str">
        <f t="shared" si="5"/>
        <v>NOT Desired</v>
      </c>
      <c r="Q5" t="str">
        <f t="shared" si="6"/>
        <v>Salary Low</v>
      </c>
      <c r="R5" t="str" cm="1">
        <f t="array" ref="R5">_xlfn.IFS(H5="", "No Data", H5&gt;=$Q$1, "Salary &gt; 85K", TRUE, "Salary Low")</f>
        <v>No Data</v>
      </c>
    </row>
    <row r="6" spans="1:21 16384:16384" x14ac:dyDescent="0.3">
      <c r="A6" s="27" t="s">
        <v>76</v>
      </c>
      <c r="B6" s="41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  <c r="P6" t="str">
        <f t="shared" si="5"/>
        <v>NOT Desired</v>
      </c>
      <c r="Q6" t="str">
        <f t="shared" si="6"/>
        <v>Salary Low</v>
      </c>
      <c r="R6" t="str" cm="1">
        <f t="array" ref="R6">_xlfn.IFS(H6="", "No Data", H6&gt;=$Q$1, "Salary &gt; 85K", TRUE, "Salary Low")</f>
        <v>No Data</v>
      </c>
    </row>
    <row r="7" spans="1:21 16384:16384" x14ac:dyDescent="0.3">
      <c r="A7" s="27" t="s">
        <v>0</v>
      </c>
      <c r="B7" s="41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  <c r="P7" t="str">
        <f t="shared" si="5"/>
        <v>NOT Desired</v>
      </c>
      <c r="Q7" t="str">
        <f t="shared" si="6"/>
        <v>Salary Low</v>
      </c>
      <c r="R7" t="str" cm="1">
        <f t="array" ref="R7">_xlfn.IFS(H7="", "No Data", H7&gt;=$Q$1, "Salary &gt; 85K", TRUE, "Salary Low")</f>
        <v>No Data</v>
      </c>
    </row>
    <row r="8" spans="1:21 16384:16384" x14ac:dyDescent="0.3">
      <c r="A8" s="27" t="s">
        <v>2</v>
      </c>
      <c r="B8" s="41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 t="shared" si="4"/>
        <v>1</v>
      </c>
      <c r="P8" t="str">
        <f t="shared" si="5"/>
        <v>Role Desired</v>
      </c>
      <c r="Q8" t="str">
        <f t="shared" si="6"/>
        <v>Salary Low</v>
      </c>
      <c r="R8" t="str" cm="1">
        <f t="array" ref="R8">_xlfn.IFS(H8="", "No Data", H8&gt;=$Q$1, "Salary &gt; 85K", TRUE, "Salary Low")</f>
        <v>No Data</v>
      </c>
    </row>
    <row r="9" spans="1:21 16384:16384" x14ac:dyDescent="0.3">
      <c r="A9" s="27" t="s">
        <v>2</v>
      </c>
      <c r="B9" s="41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  <c r="P9" t="str">
        <f t="shared" si="5"/>
        <v>Role Desired</v>
      </c>
      <c r="Q9" t="str">
        <f t="shared" si="6"/>
        <v>Salary &gt; 85K</v>
      </c>
      <c r="R9" t="str" cm="1">
        <f t="array" ref="R9">_xlfn.IFS(H9="", "No Data", H9&gt;=$Q$1, "Salary &gt; 85K", TRUE, "Salary Low")</f>
        <v>Salary &gt; 85K</v>
      </c>
    </row>
    <row r="10" spans="1:21 16384:16384" x14ac:dyDescent="0.3">
      <c r="A10" s="27" t="s">
        <v>2</v>
      </c>
      <c r="B10" s="41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  <c r="P10" t="str">
        <f t="shared" si="5"/>
        <v>Role Desired</v>
      </c>
      <c r="Q10" t="str">
        <f t="shared" si="6"/>
        <v>Salary Low</v>
      </c>
      <c r="R10" t="str" cm="1">
        <f t="array" ref="R10">_xlfn.IFS(H10="", "No Data", H10&gt;=$Q$1, "Salary &gt; 85K", TRUE, "Salary Low")</f>
        <v>No Data</v>
      </c>
    </row>
    <row r="11" spans="1:21 16384:16384" x14ac:dyDescent="0.3">
      <c r="A11" s="27" t="s">
        <v>2</v>
      </c>
      <c r="B11" s="41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  <c r="P11" t="str">
        <f t="shared" si="5"/>
        <v>Role Desired</v>
      </c>
      <c r="Q11" t="str">
        <f t="shared" si="6"/>
        <v>Salary &gt; 85K</v>
      </c>
      <c r="R11" t="str" cm="1">
        <f t="array" ref="R11">_xlfn.IFS(H11="", "No Data", H11&gt;=$Q$1, "Salary &gt; 85K", TRUE, "Salary Low")</f>
        <v>Salary &gt; 85K</v>
      </c>
    </row>
    <row r="12" spans="1:21 16384:16384" x14ac:dyDescent="0.3">
      <c r="A12" s="27" t="s">
        <v>0</v>
      </c>
      <c r="B12" s="41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  <c r="P12" t="str">
        <f t="shared" si="5"/>
        <v>NOT Desired</v>
      </c>
      <c r="Q12" t="str">
        <f t="shared" si="6"/>
        <v>Salary &gt; 85K</v>
      </c>
      <c r="R12" t="str" cm="1">
        <f t="array" ref="R12">_xlfn.IFS(H12="", "No Data", H12&gt;=$Q$1, "Salary &gt; 85K", TRUE, "Salary Low")</f>
        <v>Salary &gt; 85K</v>
      </c>
    </row>
    <row r="13" spans="1:21 16384:16384" x14ac:dyDescent="0.3">
      <c r="A13" s="27" t="s">
        <v>102</v>
      </c>
      <c r="B13" s="41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  <c r="P13" t="str">
        <f t="shared" si="5"/>
        <v>NOT Desired</v>
      </c>
      <c r="Q13" t="str">
        <f t="shared" si="6"/>
        <v>Salary &gt; 85K</v>
      </c>
      <c r="R13" t="str" cm="1">
        <f t="array" ref="R13">_xlfn.IFS(H13="", "No Data", H13&gt;=$Q$1, "Salary &gt; 85K", TRUE, "Salary Low")</f>
        <v>Salary &gt; 85K</v>
      </c>
    </row>
    <row r="14" spans="1:21 16384:16384" x14ac:dyDescent="0.3">
      <c r="A14" s="27" t="s">
        <v>0</v>
      </c>
      <c r="B14" s="41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  <c r="P14" t="str">
        <f t="shared" si="5"/>
        <v>NOT Desired</v>
      </c>
      <c r="Q14" t="str">
        <f t="shared" si="6"/>
        <v>Salary &gt; 85K</v>
      </c>
      <c r="R14" t="str" cm="1">
        <f t="array" ref="R14">_xlfn.IFS(H14="", "No Data", H14&gt;=$Q$1, "Salary &gt; 85K", TRUE, "Salary Low")</f>
        <v>Salary &gt; 85K</v>
      </c>
    </row>
    <row r="15" spans="1:21 16384:16384" x14ac:dyDescent="0.3">
      <c r="A15" s="27" t="s">
        <v>0</v>
      </c>
      <c r="B15" s="41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  <c r="P15" t="str">
        <f t="shared" si="5"/>
        <v>NOT Desired</v>
      </c>
      <c r="Q15" t="str">
        <f t="shared" si="6"/>
        <v>Salary Low</v>
      </c>
      <c r="R15" t="str" cm="1">
        <f t="array" ref="R15">_xlfn.IFS(H15="", "No Data", H15&gt;=$Q$1, "Salary &gt; 85K", TRUE, "Salary Low")</f>
        <v>Salary Low</v>
      </c>
    </row>
    <row r="16" spans="1:21 16384:16384" x14ac:dyDescent="0.3">
      <c r="A16" s="27" t="s">
        <v>4</v>
      </c>
      <c r="B16" s="41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  <c r="P16" t="str">
        <f t="shared" si="5"/>
        <v>NOT Desired</v>
      </c>
      <c r="Q16" t="str">
        <f t="shared" si="6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3">
      <c r="A17" s="27" t="s">
        <v>4</v>
      </c>
      <c r="B17" s="41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  <c r="P17" t="str">
        <f t="shared" si="5"/>
        <v>NOT Desired</v>
      </c>
      <c r="Q17" t="str">
        <f t="shared" si="6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3">
      <c r="A18" s="27" t="s">
        <v>123</v>
      </c>
      <c r="B18" s="41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  <c r="P18" t="str">
        <f t="shared" si="5"/>
        <v>Role Desired</v>
      </c>
      <c r="Q18" t="str">
        <f t="shared" si="6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3">
      <c r="A19" s="27" t="s">
        <v>0</v>
      </c>
      <c r="B19" s="41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  <c r="P19" t="str">
        <f t="shared" si="5"/>
        <v>NOT Desired</v>
      </c>
      <c r="Q19" t="str">
        <f t="shared" si="6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3">
      <c r="A20" s="27" t="s">
        <v>0</v>
      </c>
      <c r="B20" s="41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  <c r="P20" t="str">
        <f t="shared" si="5"/>
        <v>NOT Desired</v>
      </c>
      <c r="Q20" t="str">
        <f t="shared" si="6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3">
      <c r="A21" s="27" t="s">
        <v>123</v>
      </c>
      <c r="B21" s="41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  <c r="P21" t="str">
        <f t="shared" si="5"/>
        <v>Role Desired</v>
      </c>
      <c r="Q21" t="str">
        <f t="shared" si="6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zoomScale="130" zoomScaleNormal="130" workbookViewId="0">
      <selection activeCell="B5" sqref="B5"/>
    </sheetView>
  </sheetViews>
  <sheetFormatPr defaultRowHeight="14.4" x14ac:dyDescent="0.3"/>
  <cols>
    <col min="1" max="1" width="6.5546875" customWidth="1"/>
    <col min="2" max="2" width="13.44140625" customWidth="1"/>
    <col min="3" max="3" width="31.44140625" bestFit="1" customWidth="1"/>
    <col min="4" max="4" width="60.44140625" bestFit="1" customWidth="1"/>
    <col min="5" max="5" width="19.6640625" bestFit="1" customWidth="1"/>
    <col min="6" max="6" width="17.5546875" bestFit="1" customWidth="1"/>
  </cols>
  <sheetData>
    <row r="2" spans="2:6" x14ac:dyDescent="0.3">
      <c r="B2" s="26" t="s">
        <v>28</v>
      </c>
      <c r="C2" s="26" t="s">
        <v>36</v>
      </c>
      <c r="D2" s="26" t="s">
        <v>29</v>
      </c>
      <c r="E2" s="39" t="s">
        <v>139</v>
      </c>
      <c r="F2" s="39" t="s">
        <v>140</v>
      </c>
    </row>
    <row r="3" spans="2:6" x14ac:dyDescent="0.3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3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3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3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3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3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3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J10"/>
  <sheetViews>
    <sheetView zoomScale="175" zoomScaleNormal="175" workbookViewId="0">
      <selection activeCell="G4" sqref="G4"/>
    </sheetView>
  </sheetViews>
  <sheetFormatPr defaultRowHeight="14.4" x14ac:dyDescent="0.3"/>
  <cols>
    <col min="2" max="2" width="9.88671875" bestFit="1" customWidth="1"/>
    <col min="3" max="3" width="10.5546875" customWidth="1"/>
  </cols>
  <sheetData>
    <row r="1" spans="2:10" ht="15" thickBot="1" x14ac:dyDescent="0.35"/>
    <row r="2" spans="2:10" x14ac:dyDescent="0.3">
      <c r="B2" s="36" t="s">
        <v>137</v>
      </c>
      <c r="C2" s="42" t="s">
        <v>138</v>
      </c>
      <c r="D2" s="47" t="s">
        <v>141</v>
      </c>
      <c r="E2" s="45" t="s">
        <v>142</v>
      </c>
    </row>
    <row r="3" spans="2:10" x14ac:dyDescent="0.3">
      <c r="B3" s="37" t="b">
        <v>1</v>
      </c>
      <c r="C3" s="43" t="b">
        <v>1</v>
      </c>
      <c r="D3" s="27" t="b">
        <f>AND(B3,C3)</f>
        <v>1</v>
      </c>
      <c r="E3" s="46" t="b">
        <f>OR(B3,C3)</f>
        <v>1</v>
      </c>
    </row>
    <row r="4" spans="2:10" x14ac:dyDescent="0.3">
      <c r="B4" s="37" t="b">
        <v>1</v>
      </c>
      <c r="C4" s="43" t="b">
        <v>0</v>
      </c>
      <c r="D4" s="27" t="b">
        <f t="shared" ref="D4:D6" si="0">AND(B4,C4)</f>
        <v>0</v>
      </c>
      <c r="E4" s="46" t="b">
        <f t="shared" ref="E4:E6" si="1">OR(B4,C4)</f>
        <v>1</v>
      </c>
    </row>
    <row r="5" spans="2:10" x14ac:dyDescent="0.3">
      <c r="B5" s="37" t="b">
        <v>0</v>
      </c>
      <c r="C5" s="43" t="b">
        <v>1</v>
      </c>
      <c r="D5" s="27" t="b">
        <f t="shared" si="0"/>
        <v>0</v>
      </c>
      <c r="E5" s="46" t="b">
        <f t="shared" si="1"/>
        <v>1</v>
      </c>
    </row>
    <row r="6" spans="2:10" ht="15" thickBot="1" x14ac:dyDescent="0.35">
      <c r="B6" s="38" t="b">
        <v>0</v>
      </c>
      <c r="C6" s="44" t="b">
        <v>0</v>
      </c>
      <c r="D6" s="27" t="b">
        <f t="shared" si="0"/>
        <v>0</v>
      </c>
      <c r="E6" s="46" t="b">
        <f t="shared" si="1"/>
        <v>0</v>
      </c>
    </row>
    <row r="10" spans="2:10" ht="15" thickBot="1" x14ac:dyDescent="0.35">
      <c r="J10" s="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Nazil Dhalwala</cp:lastModifiedBy>
  <dcterms:created xsi:type="dcterms:W3CDTF">2024-07-16T20:11:02Z</dcterms:created>
  <dcterms:modified xsi:type="dcterms:W3CDTF">2026-07-28T11:31:20Z</dcterms:modified>
</cp:coreProperties>
</file>