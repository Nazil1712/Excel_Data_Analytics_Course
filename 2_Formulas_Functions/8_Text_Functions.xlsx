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1 Visual Studio Code\Personal\DOA\1_Excel_DOA_Course\Excel_Data_Analytics_Course\2_Formulas_Functions\"/>
    </mc:Choice>
  </mc:AlternateContent>
  <xr:revisionPtr revIDLastSave="0" documentId="13_ncr:1_{8B951359-0C82-4DBB-BE5F-8C2D3F1D7E17}" xr6:coauthVersionLast="47" xr6:coauthVersionMax="47" xr10:uidLastSave="{00000000-0000-0000-0000-000000000000}"/>
  <bookViews>
    <workbookView xWindow="28680" yWindow="-120" windowWidth="29040" windowHeight="15720" activeTab="2"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1" i="10" l="1"/>
  <c r="N6" i="10"/>
  <c r="N20" i="10"/>
  <c r="A3" i="12"/>
  <c r="B10" i="12"/>
  <c r="B11" i="12"/>
  <c r="B12" i="12"/>
  <c r="B13" i="12"/>
  <c r="B14" i="12"/>
  <c r="B15" i="12"/>
  <c r="B16" i="12"/>
  <c r="B17" i="12"/>
  <c r="B18" i="12"/>
  <c r="B19" i="12"/>
  <c r="B20" i="12"/>
  <c r="B21" i="12"/>
  <c r="B22" i="12"/>
  <c r="B23" i="12"/>
  <c r="B24" i="12"/>
  <c r="B25" i="12"/>
  <c r="B9" i="12"/>
  <c r="A9" i="12" a="1"/>
  <c r="A9" i="12" s="1"/>
  <c r="V20" i="8"/>
  <c r="V19" i="8"/>
  <c r="V17" i="8"/>
  <c r="V16" i="8"/>
  <c r="V15" i="8"/>
  <c r="V14" i="8"/>
  <c r="V13" i="8"/>
  <c r="V12" i="8"/>
  <c r="V10" i="8"/>
  <c r="V9" i="8"/>
  <c r="V8" i="8"/>
  <c r="V7" i="8"/>
  <c r="V6" i="8"/>
  <c r="V5" i="8"/>
  <c r="V4" i="8"/>
  <c r="V3" i="8"/>
  <c r="V2" i="8"/>
  <c r="T3" i="8"/>
  <c r="T4" i="8"/>
  <c r="T5" i="8"/>
  <c r="T6" i="8"/>
  <c r="T7" i="8"/>
  <c r="T8" i="8"/>
  <c r="T9" i="8"/>
  <c r="T10" i="8"/>
  <c r="T11" i="8"/>
  <c r="T12" i="8"/>
  <c r="U12" i="8" s="1"/>
  <c r="T13" i="8"/>
  <c r="U13" i="8" s="1"/>
  <c r="T14" i="8"/>
  <c r="U14" i="8" s="1"/>
  <c r="T15" i="8"/>
  <c r="T16" i="8"/>
  <c r="T17" i="8"/>
  <c r="T18" i="8"/>
  <c r="U18" i="8" s="1"/>
  <c r="T19" i="8"/>
  <c r="T20" i="8"/>
  <c r="T21" i="8"/>
  <c r="T2" i="8"/>
  <c r="U3" i="8"/>
  <c r="U4" i="8"/>
  <c r="U5" i="8"/>
  <c r="U6" i="8"/>
  <c r="U7" i="8"/>
  <c r="U8" i="8"/>
  <c r="U9" i="8"/>
  <c r="U10" i="8"/>
  <c r="U15" i="8"/>
  <c r="U16" i="8"/>
  <c r="U17" i="8"/>
  <c r="U19" i="8"/>
  <c r="U20" i="8"/>
  <c r="O2" i="8"/>
  <c r="O3" i="8"/>
  <c r="O4" i="8"/>
  <c r="O5" i="8"/>
  <c r="O6" i="8"/>
  <c r="O7" i="8"/>
  <c r="O8" i="8"/>
  <c r="O9" i="8"/>
  <c r="O10" i="8"/>
  <c r="O11" i="8"/>
  <c r="O12" i="8"/>
  <c r="O13" i="8"/>
  <c r="O14" i="8"/>
  <c r="O15" i="8"/>
  <c r="O16" i="8"/>
  <c r="O17" i="8"/>
  <c r="O18" i="8"/>
  <c r="O19" i="8"/>
  <c r="O20" i="8"/>
  <c r="O21" i="8"/>
  <c r="M3" i="8" a="1"/>
  <c r="M3" i="8" s="1"/>
  <c r="M4" i="8" a="1"/>
  <c r="M4" i="8" s="1"/>
  <c r="M5" i="8" a="1"/>
  <c r="M5" i="8" s="1"/>
  <c r="M6" i="8" a="1"/>
  <c r="M6" i="8" s="1"/>
  <c r="M7" i="8" a="1"/>
  <c r="M7" i="8" s="1"/>
  <c r="M8" i="8" a="1"/>
  <c r="M8" i="8" s="1"/>
  <c r="M9" i="8" a="1"/>
  <c r="M9" i="8" s="1"/>
  <c r="M10" i="8" a="1"/>
  <c r="M10" i="8" s="1"/>
  <c r="M11" i="8" a="1"/>
  <c r="M11" i="8" s="1"/>
  <c r="M12" i="8" a="1"/>
  <c r="M12" i="8" s="1"/>
  <c r="M13" i="8" a="1"/>
  <c r="M13" i="8" s="1"/>
  <c r="M14" i="8" a="1"/>
  <c r="M14" i="8" s="1"/>
  <c r="M15" i="8" a="1"/>
  <c r="M15" i="8" s="1"/>
  <c r="M16" i="8" a="1"/>
  <c r="M16" i="8" s="1"/>
  <c r="M17" i="8" a="1"/>
  <c r="M17" i="8" s="1"/>
  <c r="M18" i="8" a="1"/>
  <c r="M18" i="8" s="1"/>
  <c r="M19" i="8" a="1"/>
  <c r="M19" i="8" s="1"/>
  <c r="M20" i="8" a="1"/>
  <c r="M20" i="8" s="1"/>
  <c r="M21" i="8" a="1"/>
  <c r="M21" i="8" s="1"/>
  <c r="M2" i="8" a="1"/>
  <c r="M2" i="8" s="1"/>
  <c r="I21" i="10" a="1"/>
  <c r="I21" i="10" s="1"/>
  <c r="J3" i="8"/>
  <c r="J4" i="8"/>
  <c r="J5" i="8"/>
  <c r="J6" i="8"/>
  <c r="J7" i="8"/>
  <c r="J8" i="8"/>
  <c r="J9" i="8"/>
  <c r="J10" i="8"/>
  <c r="J11" i="8"/>
  <c r="J12" i="8"/>
  <c r="J13" i="8"/>
  <c r="J14" i="8"/>
  <c r="J15" i="8"/>
  <c r="J16" i="8"/>
  <c r="J17" i="8"/>
  <c r="J18" i="8"/>
  <c r="J19" i="8"/>
  <c r="J20" i="8"/>
  <c r="J21" i="8"/>
  <c r="J2" i="8"/>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s="1"/>
  <c r="Q19" i="8"/>
  <c r="R19" i="8"/>
  <c r="S19" i="8"/>
  <c r="Q20" i="8"/>
  <c r="R20" i="8"/>
  <c r="S20" i="8"/>
  <c r="Q21" i="8"/>
  <c r="R21" i="8" s="1"/>
  <c r="S2"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7" i="10"/>
  <c r="N8" i="10"/>
  <c r="N9" i="10"/>
  <c r="N10" i="10"/>
  <c r="N11" i="10"/>
  <c r="N12" i="10"/>
  <c r="N13" i="10"/>
  <c r="N14" i="10"/>
  <c r="N15" i="10"/>
  <c r="N16" i="10"/>
  <c r="N17" i="10"/>
  <c r="N18" i="10"/>
  <c r="N19"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L2" i="10" a="1"/>
  <c r="L2" i="10" s="1"/>
  <c r="I2" i="10" a="1"/>
  <c r="I2" i="10" s="1"/>
  <c r="J3" i="9"/>
  <c r="J4" i="9"/>
  <c r="J5" i="9"/>
  <c r="J6" i="9"/>
  <c r="J7" i="9"/>
  <c r="J8" i="9"/>
  <c r="J9" i="9"/>
  <c r="J10" i="9"/>
  <c r="J11" i="9"/>
  <c r="J12" i="9"/>
  <c r="J13" i="9"/>
  <c r="J14" i="9"/>
  <c r="J15" i="9"/>
  <c r="J16" i="9"/>
  <c r="J17" i="9"/>
  <c r="J18" i="9"/>
  <c r="J19" i="9"/>
  <c r="J20" i="9"/>
  <c r="J21" i="9"/>
  <c r="U11" i="8" l="1"/>
  <c r="V11" i="8" s="1"/>
  <c r="V18" i="8"/>
  <c r="S18" i="8"/>
  <c r="U21" i="8"/>
  <c r="V21" i="8" s="1"/>
  <c r="S21" i="8"/>
  <c r="U2" i="8"/>
  <c r="R9" i="8"/>
  <c r="S9" i="8" s="1"/>
  <c r="R10" i="8"/>
  <c r="S10" i="8"/>
  <c r="R11" i="8"/>
  <c r="S11" i="8"/>
  <c r="R12" i="8"/>
  <c r="S12" i="8"/>
  <c r="R13" i="8"/>
  <c r="S13" i="8"/>
  <c r="R14" i="8"/>
  <c r="S14" i="8"/>
  <c r="R15" i="8"/>
  <c r="S15" i="8"/>
  <c r="R2" i="8"/>
  <c r="K20" i="11"/>
  <c r="L20" i="11" s="1"/>
  <c r="K14" i="11"/>
  <c r="L14" i="11" s="1"/>
  <c r="K8" i="11"/>
  <c r="L8" i="1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<sst xmlns="http://schemas.openxmlformats.org/spreadsheetml/2006/main" count="688" uniqueCount="115">
  <si>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</si>
  <si>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</si>
  <si>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</si>
  <si>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</si>
  <si>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</si>
  <si>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</si>
  <si>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</si>
  <si>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</si>
  <si>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</si>
  <si>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</si>
  <si>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</si>
  <si>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</si>
  <si>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</si>
  <si>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</si>
  <si>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</si>
  <si>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</si>
  <si>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</si>
  <si>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</si>
  <si>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</si>
  <si>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</si>
  <si>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</si>
  <si>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</si>
  <si>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</si>
  <si>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</si>
  <si>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</si>
  <si>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</si>
  <si>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</si>
  <si>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</si>
  <si>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</si>
  <si>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</si>
  <si>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</si>
  <si>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</si>
  <si>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</si>
  <si>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</si>
  <si>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</si>
  <si>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</si>
  <si>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</si>
  <si>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</si>
  <si>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</si>
  <si>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</si>
  <si>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</si>
  <si>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</si>
  <si>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</si>
  <si>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</si>
  <si>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</si>
  <si>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</si>
  <si>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</si>
  <si>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</si>
  <si>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</si>
  <si>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</si>
  <si>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</si>
  <si>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</si>
  <si>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</si>
  <si>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</si>
  <si>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</si>
  <si>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</si>
  <si>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</si>
  <si>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</si>
  <si>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</si>
  <si>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</si>
  <si>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</si>
  <si>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</si>
  <si>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</si>
  <si>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</si>
  <si>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</si>
  <si>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</si>
  <si>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</si>
  <si>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</si>
  <si>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</si>
  <si>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</si>
  <si>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</si>
  <si>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</si>
  <si>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</si>
  <si>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</si>
  <si>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</si>
  <si>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</si>
  <si>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</si>
  <si>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</si>
  <si>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</si>
  <si>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</si>
  <si>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</si>
  <si>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</si>
  <si>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</si>
  <si>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</si>
  <si>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</si>
  <si>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</si>
  <si>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</si>
  <si>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</si>
  <si>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</si>
  <si>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</si>
  <si>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</si>
  <si>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</si>
  <si>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</si>
  <si>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</si>
  <si>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</si>
  <si>
    <t>=TEXTSPLIT(B3, " ")</t>
  </si>
  <si>
    <t>=TEXTSPLIT(B2, " ")</t>
  </si>
  <si>
    <t>=TEXTSPLIT(B4, " ")</t>
  </si>
  <si>
    <t>=TEXTSPLIT(B5, " ")</t>
  </si>
  <si>
    <t>Kafka</t>
  </si>
  <si>
    <t>DataBricks</t>
  </si>
  <si>
    <t>Spark</t>
  </si>
  <si>
    <t>Python</t>
  </si>
  <si>
    <t>GCP</t>
  </si>
  <si>
    <t>Power BI</t>
  </si>
  <si>
    <t>Airflow</t>
  </si>
  <si>
    <t>Hadoop</t>
  </si>
  <si>
    <t>R</t>
  </si>
  <si>
    <t>Azure</t>
  </si>
  <si>
    <t>Java</t>
  </si>
  <si>
    <t>SQL</t>
  </si>
  <si>
    <t>Snowflake</t>
  </si>
  <si>
    <t>Scala</t>
  </si>
  <si>
    <t>Excel</t>
  </si>
  <si>
    <t>Tableau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</si>
</sst>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4" x14ac:knownFonts="1">
    <font>
      <sz val="11"/>
      <color theme="1"/>
      <name val="Calibri"/>
      <family val="2"/>
      <scheme val="minor"/>
    </font>
    <font>
      <b/>
      <sz val="11"/>
      <color theme="1"/>
      <name val="Calibri"/>
      <family val="2"/>
      <scheme val="minor"/>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theme="0" tint="-0.14999847407452621"/>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s>
  <cellStyleXfs count="1">
    <xf numFmtId="0" fontId="0" fillId="0" borderId="0"/>
  </cellStyleXfs>
  <cellXfs count="25">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1" xfId="0" applyFont="1" applyFill="1" applyBorder="1"/>
    <xf numFmtId="0" fontId="0" fillId="0" borderId="0" xfId="0" quotePrefix="1"/>
    <xf numFmtId="0" fontId="3" fillId="0" borderId="0" xfId="0" applyFont="1"/>
    <xf numFmtId="0" fontId="1" fillId="2" borderId="0" xfId="0" applyFont="1" applyFill="1" applyAlignment="1">
      <alignment horizontal="center"/>
    </xf>
    <xf numFmtId="0" fontId="1" fillId="2" borderId="9" xfId="0" quotePrefix="1" applyFont="1" applyFill="1" applyBorder="1"/>
    <xf numFmtId="0" fontId="0" fillId="0" borderId="10" xfId="0" applyBorder="1"/>
    <xf numFmtId="0" fontId="0" fillId="0" borderId="11" xfId="0" applyBorder="1"/>
    <xf numFmtId="0" fontId="0" fillId="0" borderId="12"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Skill Count of Applicants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4E57-4F95-BE17-8592B28B5507}"/>
            </c:ext>
          </c:extLst>
        </c:ser>
        <c:dLbls>
          <c:showLegendKey val="0"/>
          <c:showVal val="0"/>
          <c:showCatName val="0"/>
          <c:showSerName val="0"/>
          <c:showPercent val="0"/>
          <c:showBubbleSize val="0"/>
        </c:dLbls>
        <c:gapWidth val="100"/>
        <c:overlap val="-24"/>
        <c:axId val="498049184"/>
        <c:axId val="873608816"/>
      </c:barChart>
      <c:catAx>
        <c:axId val="498049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3608816"/>
        <c:crosses val="autoZero"/>
        <c:auto val="1"/>
        <c:lblAlgn val="ctr"/>
        <c:lblOffset val="100"/>
        <c:noMultiLvlLbl val="0"/>
      </c:catAx>
      <c:valAx>
        <c:axId val="8736088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804918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95250</xdr:colOff>
      <xdr:row>9</xdr:row>
      <xdr:rowOff>152400</xdr:rowOff>
    </xdr:from>
    <xdr:to>
      <xdr:col>11</xdr:col>
      <xdr:colOff>400050</xdr:colOff>
      <xdr:row>24</xdr:row>
      <xdr:rowOff>133350</xdr:rowOff>
    </xdr:to>
    <xdr:graphicFrame macro="">
      <xdr:nvGraphicFramePr>
        <xdr:cNvPr id="7" name="Chart 6">
          <a:extLst>
            <a:ext uri="{FF2B5EF4-FFF2-40B4-BE49-F238E27FC236}">
              <a16:creationId xmlns:a16="http://schemas.microsoft.com/office/drawing/2014/main" id="{F9EEB58D-9E56-E6A2-AA3B-DEDF049F2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zoomScale="130" zoomScaleNormal="130" workbookViewId="0">
      <selection activeCell="M4" sqref="M4"/>
    </sheetView>
  </sheetViews>
  <sheetFormatPr defaultRowHeight="14.4" x14ac:dyDescent="0.3"/>
  <cols>
    <col min="1" max="1" width="11.21875" bestFit="1" customWidth="1"/>
    <col min="2" max="2" width="15.109375" hidden="1" customWidth="1"/>
    <col min="3" max="3" width="27.21875" hidden="1" customWidth="1"/>
    <col min="4" max="4" width="17.5546875" style="9" hidden="1" customWidth="1"/>
    <col min="5" max="5" width="27.88671875" bestFit="1" customWidth="1"/>
    <col min="6" max="6" width="10.6640625" bestFit="1" customWidth="1"/>
    <col min="7" max="7" width="20.77734375" customWidth="1"/>
    <col min="8" max="8" width="37.21875" bestFit="1" customWidth="1"/>
    <col min="9" max="9" width="9.33203125" customWidth="1"/>
    <col min="10" max="10" width="32.33203125" bestFit="1" customWidth="1"/>
    <col min="11" max="11" width="8.88671875" customWidth="1"/>
    <col min="12" max="12" width="16.77734375" bestFit="1" customWidth="1"/>
    <col min="13" max="13" width="15.44140625" customWidth="1"/>
    <col min="14" max="14" width="8.88671875" customWidth="1"/>
    <col min="15" max="15" width="17.77734375" bestFit="1" customWidth="1"/>
    <col min="17" max="19" width="0" hidden="1" customWidth="1"/>
  </cols>
  <sheetData>
    <row r="1" spans="1:22" x14ac:dyDescent="0.3">
      <c r="A1" s="2" t="s">
        <v>69</v>
      </c>
      <c r="B1" s="3" t="s">
        <v>2</v>
      </c>
      <c r="C1" s="3" t="s">
        <v>3</v>
      </c>
      <c r="D1" s="10" t="s">
        <v>92</v>
      </c>
      <c r="E1" s="3" t="s">
        <v>0</v>
      </c>
      <c r="F1" s="3" t="s">
        <v>21</v>
      </c>
      <c r="G1" s="3" t="s">
        <v>22</v>
      </c>
      <c r="H1" s="4" t="s">
        <v>4</v>
      </c>
      <c r="J1" s="17" t="s">
        <v>62</v>
      </c>
      <c r="L1" s="14" t="s">
        <v>65</v>
      </c>
      <c r="M1" s="14" t="s">
        <v>66</v>
      </c>
      <c r="O1" s="14" t="s">
        <v>91</v>
      </c>
      <c r="Q1" s="20" t="s">
        <v>64</v>
      </c>
      <c r="R1" s="20"/>
      <c r="S1" s="20"/>
      <c r="T1" s="20" t="s">
        <v>64</v>
      </c>
      <c r="U1" s="20"/>
      <c r="V1" s="20"/>
    </row>
    <row r="2" spans="1:22" x14ac:dyDescent="0.3">
      <c r="A2" s="5" t="s">
        <v>72</v>
      </c>
      <c r="B2" s="1" t="s">
        <v>42</v>
      </c>
      <c r="C2" s="1" t="s">
        <v>1</v>
      </c>
      <c r="D2" s="11">
        <v>44971.640451388892</v>
      </c>
      <c r="E2" s="1" t="s">
        <v>43</v>
      </c>
      <c r="F2" s="1" t="s">
        <v>23</v>
      </c>
      <c r="G2" s="1" t="s">
        <v>24</v>
      </c>
      <c r="H2" s="6" t="s">
        <v>11</v>
      </c>
      <c r="J2" s="1" t="str">
        <f>_xlfn.TEXTJOIN(" - ",TRUE,F2:G2)</f>
        <v>457 Oak St - San Jose, CA, 95101</v>
      </c>
      <c r="L2" s="18" t="s">
        <v>96</v>
      </c>
      <c r="M2" t="e" cm="1">
        <f t="array" aca="1" ref="M2" ca="1">TEXTSPLIT($B$2, " ")</f>
        <v>#NAME?</v>
      </c>
      <c r="O2" t="str">
        <f>RIGHT(A2,7)</f>
        <v>0123548</v>
      </c>
      <c r="Q2">
        <f>FIND(",", G2)+LEN(", ")</f>
        <v>11</v>
      </c>
      <c r="R2">
        <f>FIND(",",G2,Q2)</f>
        <v>13</v>
      </c>
      <c r="S2" t="str">
        <f>MID(G2,Q2,R2-Q2)</f>
        <v>CA</v>
      </c>
      <c r="T2">
        <f>FIND(",",G2)+LEN(", ")</f>
        <v>11</v>
      </c>
      <c r="U2">
        <f>FIND(",",G2,T2)</f>
        <v>13</v>
      </c>
      <c r="V2" t="str">
        <f>MID(G2,T2,U2-T2)</f>
        <v>CA</v>
      </c>
    </row>
    <row r="3" spans="1:22" x14ac:dyDescent="0.3">
      <c r="A3" s="5" t="s">
        <v>71</v>
      </c>
      <c r="B3" s="1" t="s">
        <v>38</v>
      </c>
      <c r="C3" s="1" t="s">
        <v>5</v>
      </c>
      <c r="D3" s="11">
        <v>45055.40662037037</v>
      </c>
      <c r="E3" s="1" t="s">
        <v>39</v>
      </c>
      <c r="F3" s="1" t="s">
        <v>25</v>
      </c>
      <c r="G3" s="1" t="s">
        <v>26</v>
      </c>
      <c r="H3" s="6" t="s">
        <v>14</v>
      </c>
      <c r="J3" s="1" t="str">
        <f t="shared" ref="J3:J21" si="0">_xlfn.TEXTJOIN(" - ",TRUE,F3:G3)</f>
        <v>203 Birch St - Chicago, IL, 60601</v>
      </c>
      <c r="L3" s="18" t="s">
        <v>95</v>
      </c>
      <c r="M3" t="e" cm="1">
        <f t="array" aca="1" ref="M3" ca="1">TEXTSPLIT($B$2, " ")</f>
        <v>#NAME?</v>
      </c>
      <c r="O3" t="str">
        <f t="shared" ref="O3:O21" si="1">RIGHT(A3,7)</f>
        <v>0123549</v>
      </c>
      <c r="Q3">
        <f t="shared" ref="Q3:Q21" si="2">FIND(",", G3)+LEN(", ")</f>
        <v>10</v>
      </c>
      <c r="R3">
        <f t="shared" ref="R3:R21" si="3">FIND(",",G3,Q3)</f>
        <v>12</v>
      </c>
      <c r="S3" t="str">
        <f t="shared" ref="S3:S21" si="4">MID(G3,Q3,R3-Q3)</f>
        <v>IL</v>
      </c>
      <c r="T3">
        <f t="shared" ref="T3:T21" si="5">FIND(",",G3)+LEN(", ")</f>
        <v>10</v>
      </c>
      <c r="U3">
        <f t="shared" ref="U3:U21" si="6">FIND(",",G3,T3)</f>
        <v>12</v>
      </c>
      <c r="V3" t="str">
        <f t="shared" ref="V3:V21" si="7">MID(G3,T3,U3-T3)</f>
        <v>IL</v>
      </c>
    </row>
    <row r="4" spans="1:22" x14ac:dyDescent="0.3">
      <c r="A4" s="5" t="s">
        <v>73</v>
      </c>
      <c r="B4" s="1" t="s">
        <v>58</v>
      </c>
      <c r="C4" s="1" t="s">
        <v>12</v>
      </c>
      <c r="D4" s="11">
        <v>45128.729710648149</v>
      </c>
      <c r="E4" s="1" t="s">
        <v>59</v>
      </c>
      <c r="F4" s="1" t="s">
        <v>27</v>
      </c>
      <c r="G4" s="1" t="s">
        <v>26</v>
      </c>
      <c r="H4" s="6" t="s">
        <v>6</v>
      </c>
      <c r="J4" s="1" t="str">
        <f t="shared" si="0"/>
        <v>790 Pine St - Chicago, IL, 60601</v>
      </c>
      <c r="L4" s="18" t="s">
        <v>97</v>
      </c>
      <c r="M4" t="e" cm="1">
        <f t="array" aca="1" ref="M4" ca="1">TEXTSPLIT($B$2, " ")</f>
        <v>#NAME?</v>
      </c>
      <c r="O4" t="str">
        <f t="shared" si="1"/>
        <v>0123550</v>
      </c>
      <c r="Q4">
        <f t="shared" si="2"/>
        <v>10</v>
      </c>
      <c r="R4">
        <f t="shared" si="3"/>
        <v>12</v>
      </c>
      <c r="S4" t="str">
        <f t="shared" si="4"/>
        <v>IL</v>
      </c>
      <c r="T4">
        <f t="shared" si="5"/>
        <v>10</v>
      </c>
      <c r="U4">
        <f t="shared" si="6"/>
        <v>12</v>
      </c>
      <c r="V4" t="str">
        <f t="shared" si="7"/>
        <v>IL</v>
      </c>
    </row>
    <row r="5" spans="1:22" x14ac:dyDescent="0.3">
      <c r="A5" s="5" t="s">
        <v>74</v>
      </c>
      <c r="B5" s="1" t="s">
        <v>42</v>
      </c>
      <c r="C5" s="1" t="s">
        <v>5</v>
      </c>
      <c r="D5" s="11">
        <v>45173.302187499998</v>
      </c>
      <c r="E5" s="1" t="s">
        <v>43</v>
      </c>
      <c r="F5" s="1" t="s">
        <v>23</v>
      </c>
      <c r="G5" s="1" t="s">
        <v>24</v>
      </c>
      <c r="H5" s="6" t="s">
        <v>11</v>
      </c>
      <c r="J5" s="1" t="str">
        <f t="shared" si="0"/>
        <v>457 Oak St - San Jose, CA, 95101</v>
      </c>
      <c r="L5" s="18" t="s">
        <v>98</v>
      </c>
      <c r="M5" t="e" cm="1">
        <f t="array" aca="1" ref="M5" ca="1">TEXTSPLIT($B$2, " ")</f>
        <v>#NAME?</v>
      </c>
      <c r="O5" t="str">
        <f t="shared" si="1"/>
        <v>0123551</v>
      </c>
      <c r="Q5">
        <f t="shared" si="2"/>
        <v>11</v>
      </c>
      <c r="R5">
        <f t="shared" si="3"/>
        <v>13</v>
      </c>
      <c r="S5" t="str">
        <f t="shared" si="4"/>
        <v>CA</v>
      </c>
      <c r="T5">
        <f t="shared" si="5"/>
        <v>11</v>
      </c>
      <c r="U5">
        <f t="shared" si="6"/>
        <v>13</v>
      </c>
      <c r="V5" t="str">
        <f t="shared" si="7"/>
        <v>CA</v>
      </c>
    </row>
    <row r="6" spans="1:22" x14ac:dyDescent="0.3">
      <c r="A6" s="5" t="s">
        <v>75</v>
      </c>
      <c r="B6" s="1" t="s">
        <v>40</v>
      </c>
      <c r="C6" s="1" t="s">
        <v>7</v>
      </c>
      <c r="D6" s="11">
        <v>45248.70857638889</v>
      </c>
      <c r="E6" s="1" t="s">
        <v>41</v>
      </c>
      <c r="F6" s="1" t="s">
        <v>29</v>
      </c>
      <c r="G6" s="1" t="s">
        <v>30</v>
      </c>
      <c r="H6" s="6" t="s">
        <v>10</v>
      </c>
      <c r="J6" s="1" t="str">
        <f t="shared" si="0"/>
        <v>459 Oak St - Philadelphia, PA, 19101</v>
      </c>
      <c r="M6" t="e" cm="1">
        <f t="array" aca="1" ref="M6" ca="1">TEXTSPLIT($B$2, " ")</f>
        <v>#NAME?</v>
      </c>
      <c r="O6" t="str">
        <f t="shared" si="1"/>
        <v>0123552</v>
      </c>
      <c r="Q6">
        <f t="shared" si="2"/>
        <v>15</v>
      </c>
      <c r="R6">
        <f t="shared" si="3"/>
        <v>17</v>
      </c>
      <c r="S6" t="str">
        <f t="shared" si="4"/>
        <v>PA</v>
      </c>
      <c r="T6">
        <f t="shared" si="5"/>
        <v>15</v>
      </c>
      <c r="U6">
        <f t="shared" si="6"/>
        <v>17</v>
      </c>
      <c r="V6" t="str">
        <f t="shared" si="7"/>
        <v>PA</v>
      </c>
    </row>
    <row r="7" spans="1:22" x14ac:dyDescent="0.3">
      <c r="A7" s="5" t="s">
        <v>76</v>
      </c>
      <c r="B7" s="1" t="s">
        <v>46</v>
      </c>
      <c r="C7" s="1" t="s">
        <v>9</v>
      </c>
      <c r="D7" s="11">
        <v>45302.531921296293</v>
      </c>
      <c r="E7" s="1" t="s">
        <v>47</v>
      </c>
      <c r="F7" s="1" t="s">
        <v>31</v>
      </c>
      <c r="G7" s="1" t="s">
        <v>30</v>
      </c>
      <c r="H7" s="6" t="s">
        <v>15</v>
      </c>
      <c r="J7" s="1" t="str">
        <f t="shared" si="0"/>
        <v>204 Birch St - Philadelphia, PA, 19101</v>
      </c>
      <c r="M7" t="e" cm="1">
        <f t="array" aca="1" ref="M7" ca="1">TEXTSPLIT($B$2, " ")</f>
        <v>#NAME?</v>
      </c>
      <c r="O7" t="str">
        <f t="shared" si="1"/>
        <v>0123553</v>
      </c>
      <c r="Q7">
        <f t="shared" si="2"/>
        <v>15</v>
      </c>
      <c r="R7">
        <f t="shared" si="3"/>
        <v>17</v>
      </c>
      <c r="S7" t="str">
        <f t="shared" si="4"/>
        <v>PA</v>
      </c>
      <c r="T7">
        <f t="shared" si="5"/>
        <v>15</v>
      </c>
      <c r="U7">
        <f t="shared" si="6"/>
        <v>17</v>
      </c>
      <c r="V7" t="str">
        <f t="shared" si="7"/>
        <v>PA</v>
      </c>
    </row>
    <row r="8" spans="1:22" x14ac:dyDescent="0.3">
      <c r="A8" s="5" t="s">
        <v>77</v>
      </c>
      <c r="B8" s="1" t="s">
        <v>58</v>
      </c>
      <c r="C8" s="1" t="s">
        <v>5</v>
      </c>
      <c r="D8" s="11">
        <v>45354.687881944446</v>
      </c>
      <c r="E8" s="1" t="s">
        <v>59</v>
      </c>
      <c r="F8" s="1" t="s">
        <v>27</v>
      </c>
      <c r="G8" s="1" t="s">
        <v>26</v>
      </c>
      <c r="H8" s="6" t="s">
        <v>6</v>
      </c>
      <c r="J8" s="1" t="str">
        <f t="shared" si="0"/>
        <v>790 Pine St - Chicago, IL, 60601</v>
      </c>
      <c r="M8" t="e" cm="1">
        <f t="array" aca="1" ref="M8" ca="1">TEXTSPLIT($B$2, " ")</f>
        <v>#NAME?</v>
      </c>
      <c r="O8" t="str">
        <f t="shared" si="1"/>
        <v>0123554</v>
      </c>
      <c r="Q8">
        <f t="shared" si="2"/>
        <v>10</v>
      </c>
      <c r="R8">
        <f t="shared" si="3"/>
        <v>12</v>
      </c>
      <c r="S8" t="str">
        <f t="shared" si="4"/>
        <v>IL</v>
      </c>
      <c r="T8">
        <f t="shared" si="5"/>
        <v>10</v>
      </c>
      <c r="U8">
        <f t="shared" si="6"/>
        <v>12</v>
      </c>
      <c r="V8" t="str">
        <f t="shared" si="7"/>
        <v>IL</v>
      </c>
    </row>
    <row r="9" spans="1:22" x14ac:dyDescent="0.3">
      <c r="A9" s="5" t="s">
        <v>78</v>
      </c>
      <c r="B9" s="1" t="s">
        <v>46</v>
      </c>
      <c r="C9" s="1" t="s">
        <v>1</v>
      </c>
      <c r="D9" s="11">
        <v>45408.340810185182</v>
      </c>
      <c r="E9" s="1" t="s">
        <v>47</v>
      </c>
      <c r="F9" s="1" t="s">
        <v>31</v>
      </c>
      <c r="G9" s="1" t="s">
        <v>30</v>
      </c>
      <c r="H9" s="6" t="s">
        <v>15</v>
      </c>
      <c r="J9" s="1" t="str">
        <f t="shared" si="0"/>
        <v>204 Birch St - Philadelphia, PA, 19101</v>
      </c>
      <c r="M9" t="e" cm="1">
        <f t="array" aca="1" ref="M9" ca="1">TEXTSPLIT($B$2, " ")</f>
        <v>#NAME?</v>
      </c>
      <c r="O9" t="str">
        <f t="shared" si="1"/>
        <v>0123555</v>
      </c>
      <c r="Q9">
        <f t="shared" si="2"/>
        <v>15</v>
      </c>
      <c r="R9">
        <f t="shared" si="3"/>
        <v>17</v>
      </c>
      <c r="S9" t="str">
        <f t="shared" si="4"/>
        <v>PA</v>
      </c>
      <c r="T9">
        <f t="shared" si="5"/>
        <v>15</v>
      </c>
      <c r="U9">
        <f t="shared" si="6"/>
        <v>17</v>
      </c>
      <c r="V9" t="str">
        <f t="shared" si="7"/>
        <v>PA</v>
      </c>
    </row>
    <row r="10" spans="1:22" x14ac:dyDescent="0.3">
      <c r="A10" s="5" t="s">
        <v>79</v>
      </c>
      <c r="B10" s="1" t="s">
        <v>50</v>
      </c>
      <c r="C10" s="1" t="s">
        <v>7</v>
      </c>
      <c r="D10" s="11">
        <v>45458.743333333332</v>
      </c>
      <c r="E10" s="1" t="s">
        <v>51</v>
      </c>
      <c r="F10" s="1" t="s">
        <v>33</v>
      </c>
      <c r="G10" s="1" t="s">
        <v>26</v>
      </c>
      <c r="H10" s="6" t="s">
        <v>18</v>
      </c>
      <c r="J10" s="1" t="str">
        <f t="shared" si="0"/>
        <v>123 Elm St - Chicago, IL, 60601</v>
      </c>
      <c r="M10" t="e" cm="1">
        <f t="array" aca="1" ref="M10" ca="1">TEXTSPLIT($B$2, " ")</f>
        <v>#NAME?</v>
      </c>
      <c r="O10" t="str">
        <f t="shared" si="1"/>
        <v>0123556</v>
      </c>
      <c r="Q10">
        <f t="shared" si="2"/>
        <v>10</v>
      </c>
      <c r="R10">
        <f t="shared" si="3"/>
        <v>12</v>
      </c>
      <c r="S10" t="str">
        <f t="shared" si="4"/>
        <v>IL</v>
      </c>
      <c r="T10">
        <f t="shared" si="5"/>
        <v>10</v>
      </c>
      <c r="U10">
        <f t="shared" si="6"/>
        <v>12</v>
      </c>
      <c r="V10" t="str">
        <f t="shared" si="7"/>
        <v>IL</v>
      </c>
    </row>
    <row r="11" spans="1:22" x14ac:dyDescent="0.3">
      <c r="A11" s="5" t="s">
        <v>80</v>
      </c>
      <c r="B11" s="1" t="s">
        <v>54</v>
      </c>
      <c r="C11" s="1" t="s">
        <v>12</v>
      </c>
      <c r="D11" s="11">
        <v>45480.608055555553</v>
      </c>
      <c r="E11" s="1" t="s">
        <v>55</v>
      </c>
      <c r="F11" s="1" t="s">
        <v>33</v>
      </c>
      <c r="G11" s="1" t="s">
        <v>32</v>
      </c>
      <c r="H11" s="6" t="s">
        <v>13</v>
      </c>
      <c r="J11" s="1" t="str">
        <f t="shared" si="0"/>
        <v>123 Elm St - Los Angeles, CA, 90001</v>
      </c>
      <c r="M11" t="e" cm="1">
        <f t="array" aca="1" ref="M11" ca="1">TEXTSPLIT($B$2, " ")</f>
        <v>#NAME?</v>
      </c>
      <c r="O11" t="str">
        <f t="shared" si="1"/>
        <v>0123557</v>
      </c>
      <c r="Q11">
        <f t="shared" si="2"/>
        <v>14</v>
      </c>
      <c r="R11">
        <f t="shared" si="3"/>
        <v>16</v>
      </c>
      <c r="S11" t="str">
        <f t="shared" si="4"/>
        <v>CA</v>
      </c>
      <c r="T11">
        <f t="shared" si="5"/>
        <v>14</v>
      </c>
      <c r="U11">
        <f t="shared" si="6"/>
        <v>16</v>
      </c>
      <c r="V11" t="str">
        <f t="shared" si="7"/>
        <v>CA</v>
      </c>
    </row>
    <row r="12" spans="1:22" x14ac:dyDescent="0.3">
      <c r="A12" s="5" t="s">
        <v>81</v>
      </c>
      <c r="B12" s="1" t="s">
        <v>44</v>
      </c>
      <c r="C12" s="1" t="s">
        <v>7</v>
      </c>
      <c r="D12" s="11">
        <v>45455.284930555557</v>
      </c>
      <c r="E12" s="1" t="s">
        <v>45</v>
      </c>
      <c r="F12" s="1" t="s">
        <v>33</v>
      </c>
      <c r="G12" s="1" t="s">
        <v>34</v>
      </c>
      <c r="H12" s="6" t="s">
        <v>17</v>
      </c>
      <c r="J12" s="1" t="str">
        <f t="shared" si="0"/>
        <v>123 Elm St - San Diego, CA, 92101</v>
      </c>
      <c r="M12" t="e" cm="1">
        <f t="array" aca="1" ref="M12" ca="1">TEXTSPLIT($B$2, " ")</f>
        <v>#NAME?</v>
      </c>
      <c r="O12" t="str">
        <f t="shared" si="1"/>
        <v>0123558</v>
      </c>
      <c r="Q12">
        <f t="shared" si="2"/>
        <v>12</v>
      </c>
      <c r="R12">
        <f t="shared" si="3"/>
        <v>14</v>
      </c>
      <c r="S12" t="str">
        <f t="shared" si="4"/>
        <v>CA</v>
      </c>
      <c r="T12">
        <f t="shared" si="5"/>
        <v>12</v>
      </c>
      <c r="U12">
        <f t="shared" si="6"/>
        <v>14</v>
      </c>
      <c r="V12" t="str">
        <f t="shared" si="7"/>
        <v>CA</v>
      </c>
    </row>
    <row r="13" spans="1:22" x14ac:dyDescent="0.3">
      <c r="A13" s="5" t="s">
        <v>82</v>
      </c>
      <c r="B13" s="1" t="s">
        <v>56</v>
      </c>
      <c r="C13" s="1" t="s">
        <v>9</v>
      </c>
      <c r="D13" s="11">
        <v>44951.552141203705</v>
      </c>
      <c r="E13" s="1" t="s">
        <v>57</v>
      </c>
      <c r="F13" s="1" t="s">
        <v>35</v>
      </c>
      <c r="G13" s="1" t="s">
        <v>26</v>
      </c>
      <c r="H13" s="6" t="s">
        <v>16</v>
      </c>
      <c r="J13" s="1" t="str">
        <f t="shared" si="0"/>
        <v>202 Birch St - Chicago, IL, 60601</v>
      </c>
      <c r="M13" t="e" cm="1">
        <f t="array" aca="1" ref="M13" ca="1">TEXTSPLIT($B$2, " ")</f>
        <v>#NAME?</v>
      </c>
      <c r="O13" t="str">
        <f t="shared" si="1"/>
        <v>0123559</v>
      </c>
      <c r="Q13">
        <f t="shared" si="2"/>
        <v>10</v>
      </c>
      <c r="R13">
        <f t="shared" si="3"/>
        <v>12</v>
      </c>
      <c r="S13" t="str">
        <f t="shared" si="4"/>
        <v>IL</v>
      </c>
      <c r="T13">
        <f t="shared" si="5"/>
        <v>10</v>
      </c>
      <c r="U13">
        <f t="shared" si="6"/>
        <v>12</v>
      </c>
      <c r="V13" t="str">
        <f t="shared" si="7"/>
        <v>IL</v>
      </c>
    </row>
    <row r="14" spans="1:22" x14ac:dyDescent="0.3">
      <c r="A14" s="5" t="s">
        <v>83</v>
      </c>
      <c r="B14" s="1" t="s">
        <v>46</v>
      </c>
      <c r="C14" s="1" t="s">
        <v>12</v>
      </c>
      <c r="D14" s="11">
        <v>45002.490034722221</v>
      </c>
      <c r="E14" s="1" t="s">
        <v>47</v>
      </c>
      <c r="F14" s="1" t="s">
        <v>31</v>
      </c>
      <c r="G14" s="1" t="s">
        <v>30</v>
      </c>
      <c r="H14" s="6" t="s">
        <v>15</v>
      </c>
      <c r="J14" s="1" t="str">
        <f t="shared" si="0"/>
        <v>204 Birch St - Philadelphia, PA, 19101</v>
      </c>
      <c r="M14" t="e" cm="1">
        <f t="array" aca="1" ref="M14" ca="1">TEXTSPLIT($B$2, " ")</f>
        <v>#NAME?</v>
      </c>
      <c r="O14" t="str">
        <f t="shared" si="1"/>
        <v>0123560</v>
      </c>
      <c r="Q14">
        <f t="shared" si="2"/>
        <v>15</v>
      </c>
      <c r="R14">
        <f t="shared" si="3"/>
        <v>17</v>
      </c>
      <c r="S14" t="str">
        <f t="shared" si="4"/>
        <v>PA</v>
      </c>
      <c r="T14">
        <f t="shared" si="5"/>
        <v>15</v>
      </c>
      <c r="U14">
        <f t="shared" si="6"/>
        <v>17</v>
      </c>
      <c r="V14" t="str">
        <f t="shared" si="7"/>
        <v>PA</v>
      </c>
    </row>
    <row r="15" spans="1:22" x14ac:dyDescent="0.3">
      <c r="A15" s="5" t="s">
        <v>84</v>
      </c>
      <c r="B15" s="1" t="s">
        <v>52</v>
      </c>
      <c r="C15" s="1" t="s">
        <v>9</v>
      </c>
      <c r="D15" s="11">
        <v>45078.417256944442</v>
      </c>
      <c r="E15" s="1" t="s">
        <v>53</v>
      </c>
      <c r="F15" s="1" t="s">
        <v>33</v>
      </c>
      <c r="G15" s="1" t="s">
        <v>26</v>
      </c>
      <c r="H15" s="6" t="s">
        <v>19</v>
      </c>
      <c r="J15" s="1" t="str">
        <f t="shared" si="0"/>
        <v>123 Elm St - Chicago, IL, 60601</v>
      </c>
      <c r="M15" t="e" cm="1">
        <f t="array" aca="1" ref="M15" ca="1">TEXTSPLIT($B$2, " ")</f>
        <v>#NAME?</v>
      </c>
      <c r="O15" t="str">
        <f t="shared" si="1"/>
        <v>0123561</v>
      </c>
      <c r="Q15">
        <f t="shared" si="2"/>
        <v>10</v>
      </c>
      <c r="R15">
        <f t="shared" si="3"/>
        <v>12</v>
      </c>
      <c r="S15" t="str">
        <f t="shared" si="4"/>
        <v>IL</v>
      </c>
      <c r="T15">
        <f t="shared" si="5"/>
        <v>10</v>
      </c>
      <c r="U15">
        <f t="shared" si="6"/>
        <v>12</v>
      </c>
      <c r="V15" t="str">
        <f t="shared" si="7"/>
        <v>IL</v>
      </c>
    </row>
    <row r="16" spans="1:22" x14ac:dyDescent="0.3">
      <c r="A16" s="5" t="s">
        <v>85</v>
      </c>
      <c r="B16" s="1" t="s">
        <v>60</v>
      </c>
      <c r="C16" s="1" t="s">
        <v>9</v>
      </c>
      <c r="D16" s="11">
        <v>45168.729328703703</v>
      </c>
      <c r="E16" s="1" t="s">
        <v>61</v>
      </c>
      <c r="F16" s="1" t="s">
        <v>28</v>
      </c>
      <c r="G16" s="1" t="s">
        <v>26</v>
      </c>
      <c r="H16" s="6" t="s">
        <v>20</v>
      </c>
      <c r="J16" s="1" t="str">
        <f t="shared" si="0"/>
        <v>456 Oak St - Chicago, IL, 60601</v>
      </c>
      <c r="M16" t="e" cm="1">
        <f t="array" aca="1" ref="M16" ca="1">TEXTSPLIT($B$2, " ")</f>
        <v>#NAME?</v>
      </c>
      <c r="O16" t="str">
        <f t="shared" si="1"/>
        <v>0123562</v>
      </c>
      <c r="Q16">
        <f t="shared" si="2"/>
        <v>10</v>
      </c>
      <c r="R16">
        <f t="shared" si="3"/>
        <v>12</v>
      </c>
      <c r="S16" t="str">
        <f t="shared" si="4"/>
        <v>IL</v>
      </c>
      <c r="T16">
        <f t="shared" si="5"/>
        <v>10</v>
      </c>
      <c r="U16">
        <f t="shared" si="6"/>
        <v>12</v>
      </c>
      <c r="V16" t="str">
        <f t="shared" si="7"/>
        <v>IL</v>
      </c>
    </row>
    <row r="17" spans="1:22" x14ac:dyDescent="0.3">
      <c r="A17" s="5" t="s">
        <v>86</v>
      </c>
      <c r="B17" s="1" t="s">
        <v>38</v>
      </c>
      <c r="C17" s="1" t="s">
        <v>7</v>
      </c>
      <c r="D17" s="11">
        <v>45218.319780092592</v>
      </c>
      <c r="E17" s="1" t="s">
        <v>39</v>
      </c>
      <c r="F17" s="1" t="s">
        <v>25</v>
      </c>
      <c r="G17" s="1" t="s">
        <v>37</v>
      </c>
      <c r="H17" s="6" t="s">
        <v>14</v>
      </c>
      <c r="J17" s="1" t="str">
        <f t="shared" si="0"/>
        <v>203 Birch St - Chicago, IL, 60602</v>
      </c>
      <c r="M17" t="e" cm="1">
        <f t="array" aca="1" ref="M17" ca="1">TEXTSPLIT($B$2, " ")</f>
        <v>#NAME?</v>
      </c>
      <c r="O17" t="str">
        <f t="shared" si="1"/>
        <v>0123563</v>
      </c>
      <c r="Q17">
        <f t="shared" si="2"/>
        <v>10</v>
      </c>
      <c r="R17">
        <f t="shared" si="3"/>
        <v>12</v>
      </c>
      <c r="S17" t="str">
        <f t="shared" si="4"/>
        <v>IL</v>
      </c>
      <c r="T17">
        <f t="shared" si="5"/>
        <v>10</v>
      </c>
      <c r="U17">
        <f t="shared" si="6"/>
        <v>12</v>
      </c>
      <c r="V17" t="str">
        <f t="shared" si="7"/>
        <v>IL</v>
      </c>
    </row>
    <row r="18" spans="1:22" x14ac:dyDescent="0.3">
      <c r="A18" s="5" t="s">
        <v>87</v>
      </c>
      <c r="B18" s="1" t="s">
        <v>40</v>
      </c>
      <c r="C18" s="1" t="s">
        <v>12</v>
      </c>
      <c r="D18" s="11">
        <v>45350.719236111108</v>
      </c>
      <c r="E18" s="1" t="s">
        <v>41</v>
      </c>
      <c r="F18" s="1" t="s">
        <v>29</v>
      </c>
      <c r="G18" s="1" t="s">
        <v>30</v>
      </c>
      <c r="H18" s="6" t="s">
        <v>10</v>
      </c>
      <c r="J18" s="1" t="str">
        <f t="shared" si="0"/>
        <v>459 Oak St - Philadelphia, PA, 19101</v>
      </c>
      <c r="M18" t="e" cm="1">
        <f t="array" aca="1" ref="M18" ca="1">TEXTSPLIT($B$2, " ")</f>
        <v>#NAME?</v>
      </c>
      <c r="O18" t="str">
        <f t="shared" si="1"/>
        <v>0123564</v>
      </c>
      <c r="Q18">
        <f t="shared" si="2"/>
        <v>15</v>
      </c>
      <c r="R18">
        <f t="shared" si="3"/>
        <v>17</v>
      </c>
      <c r="S18" t="str">
        <f t="shared" si="4"/>
        <v>PA</v>
      </c>
      <c r="T18">
        <f t="shared" si="5"/>
        <v>15</v>
      </c>
      <c r="U18">
        <f t="shared" si="6"/>
        <v>17</v>
      </c>
      <c r="V18" t="str">
        <f t="shared" si="7"/>
        <v>PA</v>
      </c>
    </row>
    <row r="19" spans="1:22" x14ac:dyDescent="0.3">
      <c r="A19" s="5" t="s">
        <v>88</v>
      </c>
      <c r="B19" s="1" t="s">
        <v>48</v>
      </c>
      <c r="C19" s="1" t="s">
        <v>7</v>
      </c>
      <c r="D19" s="11">
        <v>45418.726354166669</v>
      </c>
      <c r="E19" s="1" t="s">
        <v>49</v>
      </c>
      <c r="F19" s="1" t="s">
        <v>28</v>
      </c>
      <c r="G19" s="1" t="s">
        <v>36</v>
      </c>
      <c r="H19" s="6" t="s">
        <v>8</v>
      </c>
      <c r="J19" s="1" t="str">
        <f t="shared" si="0"/>
        <v>456 Oak St - New York, NY, 10001</v>
      </c>
      <c r="M19" t="e" cm="1">
        <f t="array" aca="1" ref="M19" ca="1">TEXTSPLIT($B$2, " ")</f>
        <v>#NAME?</v>
      </c>
      <c r="O19" t="str">
        <f t="shared" si="1"/>
        <v>0123565</v>
      </c>
      <c r="Q19">
        <f t="shared" si="2"/>
        <v>11</v>
      </c>
      <c r="R19">
        <f t="shared" si="3"/>
        <v>13</v>
      </c>
      <c r="S19" t="str">
        <f t="shared" si="4"/>
        <v>NY</v>
      </c>
      <c r="T19">
        <f t="shared" si="5"/>
        <v>11</v>
      </c>
      <c r="U19">
        <f t="shared" si="6"/>
        <v>13</v>
      </c>
      <c r="V19" t="str">
        <f t="shared" si="7"/>
        <v>NY</v>
      </c>
    </row>
    <row r="20" spans="1:22" x14ac:dyDescent="0.3">
      <c r="A20" s="5" t="s">
        <v>89</v>
      </c>
      <c r="B20" s="1" t="s">
        <v>40</v>
      </c>
      <c r="C20" s="1" t="s">
        <v>9</v>
      </c>
      <c r="D20" s="11">
        <v>45496.291701388887</v>
      </c>
      <c r="E20" s="1" t="s">
        <v>41</v>
      </c>
      <c r="F20" s="1" t="s">
        <v>29</v>
      </c>
      <c r="G20" s="1" t="s">
        <v>30</v>
      </c>
      <c r="H20" s="6" t="s">
        <v>10</v>
      </c>
      <c r="J20" s="1" t="str">
        <f t="shared" si="0"/>
        <v>459 Oak St - Philadelphia, PA, 19101</v>
      </c>
      <c r="M20" t="e" cm="1">
        <f t="array" aca="1" ref="M20" ca="1">TEXTSPLIT($B$2, " ")</f>
        <v>#NAME?</v>
      </c>
      <c r="O20" t="str">
        <f t="shared" si="1"/>
        <v>0123566</v>
      </c>
      <c r="Q20">
        <f t="shared" si="2"/>
        <v>15</v>
      </c>
      <c r="R20">
        <f t="shared" si="3"/>
        <v>17</v>
      </c>
      <c r="S20" t="str">
        <f t="shared" si="4"/>
        <v>PA</v>
      </c>
      <c r="T20">
        <f t="shared" si="5"/>
        <v>15</v>
      </c>
      <c r="U20">
        <f t="shared" si="6"/>
        <v>17</v>
      </c>
      <c r="V20" t="str">
        <f t="shared" si="7"/>
        <v>PA</v>
      </c>
    </row>
    <row r="21" spans="1:22" ht="15" thickBot="1" x14ac:dyDescent="0.35">
      <c r="A21" s="5" t="s">
        <v>90</v>
      </c>
      <c r="B21" s="7" t="s">
        <v>40</v>
      </c>
      <c r="C21" s="7" t="s">
        <v>9</v>
      </c>
      <c r="D21" s="12">
        <v>45422.739884259259</v>
      </c>
      <c r="E21" s="7" t="s">
        <v>41</v>
      </c>
      <c r="F21" s="7" t="s">
        <v>29</v>
      </c>
      <c r="G21" s="7" t="s">
        <v>36</v>
      </c>
      <c r="H21" s="8" t="s">
        <v>10</v>
      </c>
      <c r="J21" s="1" t="str">
        <f t="shared" si="0"/>
        <v>459 Oak St - New York, NY, 10001</v>
      </c>
      <c r="M21" t="e" cm="1">
        <f t="array" aca="1" ref="M21" ca="1">TEXTSPLIT($B$2, " ")</f>
        <v>#NAME?</v>
      </c>
      <c r="O21" t="str">
        <f t="shared" si="1"/>
        <v>0123567</v>
      </c>
      <c r="Q21">
        <f t="shared" si="2"/>
        <v>11</v>
      </c>
      <c r="R21">
        <f t="shared" si="3"/>
        <v>13</v>
      </c>
      <c r="S21" t="str">
        <f t="shared" si="4"/>
        <v>NY</v>
      </c>
      <c r="T21">
        <f t="shared" si="5"/>
        <v>11</v>
      </c>
      <c r="U21">
        <f t="shared" si="6"/>
        <v>13</v>
      </c>
      <c r="V21" t="str">
        <f t="shared" si="7"/>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topLeftCell="D1" workbookViewId="0">
      <selection activeCell="J14" sqref="J14"/>
    </sheetView>
  </sheetViews>
  <sheetFormatPr defaultRowHeight="14.4" x14ac:dyDescent="0.3"/>
  <cols>
    <col min="1" max="1" width="14.21875" bestFit="1" customWidth="1"/>
    <col min="2" max="2" width="18.6640625" customWidth="1"/>
    <col min="3" max="3" width="27.21875" style="9" bestFit="1" customWidth="1"/>
    <col min="4" max="4" width="16.5546875" customWidth="1"/>
    <col min="5" max="5" width="11" bestFit="1" customWidth="1"/>
    <col min="6" max="6" width="22" bestFit="1" customWidth="1"/>
    <col min="7" max="7" width="40" bestFit="1" customWidth="1"/>
    <col min="8" max="8" width="40" customWidth="1"/>
    <col min="9" max="9" width="9" customWidth="1"/>
    <col min="10" max="10" width="29.109375" bestFit="1" customWidth="1"/>
  </cols>
  <sheetData>
    <row r="1" spans="1:10" x14ac:dyDescent="0.3">
      <c r="A1" s="2" t="s">
        <v>69</v>
      </c>
      <c r="B1" s="3" t="s">
        <v>2</v>
      </c>
      <c r="C1" s="3" t="s">
        <v>3</v>
      </c>
      <c r="D1" s="10" t="s">
        <v>92</v>
      </c>
      <c r="E1" s="3" t="s">
        <v>0</v>
      </c>
      <c r="F1" s="3" t="s">
        <v>21</v>
      </c>
      <c r="G1" s="3" t="s">
        <v>22</v>
      </c>
      <c r="H1" s="4" t="s">
        <v>4</v>
      </c>
      <c r="J1" s="14" t="s">
        <v>62</v>
      </c>
    </row>
    <row r="2" spans="1:10" x14ac:dyDescent="0.3">
      <c r="A2" s="5" t="s">
        <v>72</v>
      </c>
      <c r="B2" s="1" t="s">
        <v>42</v>
      </c>
      <c r="C2" s="1" t="s">
        <v>1</v>
      </c>
      <c r="D2" s="11">
        <v>44971.640451388892</v>
      </c>
      <c r="E2" s="1" t="s">
        <v>43</v>
      </c>
      <c r="F2" s="1" t="s">
        <v>23</v>
      </c>
      <c r="G2" s="1" t="s">
        <v>24</v>
      </c>
      <c r="H2" s="6" t="s">
        <v>11</v>
      </c>
      <c r="J2" t="str">
        <f>_xlfn.TEXTJOIN(" ",TRUE,F2,G2)</f>
        <v>457 Oak St San Jose, CA, 95101</v>
      </c>
    </row>
    <row r="3" spans="1:10" x14ac:dyDescent="0.3">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3">
      <c r="A4" s="5" t="s">
        <v>73</v>
      </c>
      <c r="B4" s="1" t="s">
        <v>58</v>
      </c>
      <c r="C4" s="1" t="s">
        <v>12</v>
      </c>
      <c r="D4" s="11">
        <v>45128.729710648149</v>
      </c>
      <c r="E4" s="1" t="s">
        <v>59</v>
      </c>
      <c r="F4" s="1" t="s">
        <v>27</v>
      </c>
      <c r="G4" s="1" t="s">
        <v>26</v>
      </c>
      <c r="H4" s="6" t="s">
        <v>6</v>
      </c>
      <c r="J4" t="str">
        <f t="shared" si="0"/>
        <v>790 Pine St Chicago, IL, 60601</v>
      </c>
    </row>
    <row r="5" spans="1:10" x14ac:dyDescent="0.3">
      <c r="A5" s="5" t="s">
        <v>74</v>
      </c>
      <c r="B5" s="1" t="s">
        <v>42</v>
      </c>
      <c r="C5" s="1" t="s">
        <v>5</v>
      </c>
      <c r="D5" s="11">
        <v>45173.302187499998</v>
      </c>
      <c r="E5" s="1" t="s">
        <v>43</v>
      </c>
      <c r="F5" s="1" t="s">
        <v>23</v>
      </c>
      <c r="G5" s="1" t="s">
        <v>24</v>
      </c>
      <c r="H5" s="6" t="s">
        <v>11</v>
      </c>
      <c r="J5" t="str">
        <f t="shared" si="0"/>
        <v>457 Oak St San Jose, CA, 95101</v>
      </c>
    </row>
    <row r="6" spans="1:10" x14ac:dyDescent="0.3">
      <c r="A6" s="5" t="s">
        <v>75</v>
      </c>
      <c r="B6" s="1" t="s">
        <v>40</v>
      </c>
      <c r="C6" s="1" t="s">
        <v>7</v>
      </c>
      <c r="D6" s="11">
        <v>45248.70857638889</v>
      </c>
      <c r="E6" s="1" t="s">
        <v>41</v>
      </c>
      <c r="F6" s="1" t="s">
        <v>29</v>
      </c>
      <c r="G6" s="1" t="s">
        <v>30</v>
      </c>
      <c r="H6" s="6" t="s">
        <v>10</v>
      </c>
      <c r="J6" t="str">
        <f t="shared" si="0"/>
        <v>459 Oak St Philadelphia, PA, 19101</v>
      </c>
    </row>
    <row r="7" spans="1:10" x14ac:dyDescent="0.3">
      <c r="A7" s="5" t="s">
        <v>76</v>
      </c>
      <c r="B7" s="1" t="s">
        <v>46</v>
      </c>
      <c r="C7" s="1" t="s">
        <v>9</v>
      </c>
      <c r="D7" s="11">
        <v>45302.531921296293</v>
      </c>
      <c r="E7" s="1" t="s">
        <v>47</v>
      </c>
      <c r="F7" s="1" t="s">
        <v>31</v>
      </c>
      <c r="G7" s="1" t="s">
        <v>30</v>
      </c>
      <c r="H7" s="6" t="s">
        <v>15</v>
      </c>
      <c r="J7" t="str">
        <f t="shared" si="0"/>
        <v>204 Birch St Philadelphia, PA, 19101</v>
      </c>
    </row>
    <row r="8" spans="1:10" x14ac:dyDescent="0.3">
      <c r="A8" s="5" t="s">
        <v>77</v>
      </c>
      <c r="B8" s="1" t="s">
        <v>58</v>
      </c>
      <c r="C8" s="1" t="s">
        <v>5</v>
      </c>
      <c r="D8" s="11">
        <v>45354.687881944446</v>
      </c>
      <c r="E8" s="1" t="s">
        <v>59</v>
      </c>
      <c r="F8" s="1" t="s">
        <v>27</v>
      </c>
      <c r="G8" s="1" t="s">
        <v>26</v>
      </c>
      <c r="H8" s="6" t="s">
        <v>6</v>
      </c>
      <c r="J8" t="str">
        <f t="shared" si="0"/>
        <v>790 Pine St Chicago, IL, 60601</v>
      </c>
    </row>
    <row r="9" spans="1:10" x14ac:dyDescent="0.3">
      <c r="A9" s="5" t="s">
        <v>78</v>
      </c>
      <c r="B9" s="1" t="s">
        <v>46</v>
      </c>
      <c r="C9" s="1" t="s">
        <v>1</v>
      </c>
      <c r="D9" s="11">
        <v>45408.340810185182</v>
      </c>
      <c r="E9" s="1" t="s">
        <v>47</v>
      </c>
      <c r="F9" s="1" t="s">
        <v>31</v>
      </c>
      <c r="G9" s="1" t="s">
        <v>30</v>
      </c>
      <c r="H9" s="6" t="s">
        <v>15</v>
      </c>
      <c r="J9" t="str">
        <f t="shared" si="0"/>
        <v>204 Birch St Philadelphia, PA, 19101</v>
      </c>
    </row>
    <row r="10" spans="1:10" x14ac:dyDescent="0.3">
      <c r="A10" s="5" t="s">
        <v>79</v>
      </c>
      <c r="B10" s="1" t="s">
        <v>50</v>
      </c>
      <c r="C10" s="1" t="s">
        <v>7</v>
      </c>
      <c r="D10" s="11">
        <v>45458.743333333332</v>
      </c>
      <c r="E10" s="1" t="s">
        <v>51</v>
      </c>
      <c r="F10" s="1" t="s">
        <v>33</v>
      </c>
      <c r="G10" s="1" t="s">
        <v>26</v>
      </c>
      <c r="H10" s="6" t="s">
        <v>18</v>
      </c>
      <c r="J10" t="str">
        <f t="shared" si="0"/>
        <v>123 Elm St Chicago, IL, 60601</v>
      </c>
    </row>
    <row r="11" spans="1:10" x14ac:dyDescent="0.3">
      <c r="A11" s="5" t="s">
        <v>80</v>
      </c>
      <c r="B11" s="1" t="s">
        <v>54</v>
      </c>
      <c r="C11" s="1" t="s">
        <v>12</v>
      </c>
      <c r="D11" s="11">
        <v>45480.608055555553</v>
      </c>
      <c r="E11" s="1" t="s">
        <v>55</v>
      </c>
      <c r="F11" s="1" t="s">
        <v>33</v>
      </c>
      <c r="G11" s="1" t="s">
        <v>32</v>
      </c>
      <c r="H11" s="6" t="s">
        <v>13</v>
      </c>
      <c r="J11" t="str">
        <f t="shared" si="0"/>
        <v>123 Elm St Los Angeles, CA, 90001</v>
      </c>
    </row>
    <row r="12" spans="1:10" x14ac:dyDescent="0.3">
      <c r="A12" s="5" t="s">
        <v>81</v>
      </c>
      <c r="B12" s="1" t="s">
        <v>44</v>
      </c>
      <c r="C12" s="1" t="s">
        <v>7</v>
      </c>
      <c r="D12" s="11">
        <v>45455.284930555557</v>
      </c>
      <c r="E12" s="1" t="s">
        <v>45</v>
      </c>
      <c r="F12" s="1" t="s">
        <v>33</v>
      </c>
      <c r="G12" s="1" t="s">
        <v>34</v>
      </c>
      <c r="H12" s="6" t="s">
        <v>17</v>
      </c>
      <c r="J12" t="str">
        <f t="shared" si="0"/>
        <v>123 Elm St San Diego, CA, 92101</v>
      </c>
    </row>
    <row r="13" spans="1:10" x14ac:dyDescent="0.3">
      <c r="A13" s="5" t="s">
        <v>82</v>
      </c>
      <c r="B13" s="1" t="s">
        <v>56</v>
      </c>
      <c r="C13" s="1" t="s">
        <v>9</v>
      </c>
      <c r="D13" s="11">
        <v>44951.552141203705</v>
      </c>
      <c r="E13" s="1" t="s">
        <v>57</v>
      </c>
      <c r="F13" s="1" t="s">
        <v>35</v>
      </c>
      <c r="G13" s="1" t="s">
        <v>26</v>
      </c>
      <c r="H13" s="6" t="s">
        <v>16</v>
      </c>
      <c r="J13" t="str">
        <f t="shared" si="0"/>
        <v>202 Birch St Chicago, IL, 60601</v>
      </c>
    </row>
    <row r="14" spans="1:10" x14ac:dyDescent="0.3">
      <c r="A14" s="5" t="s">
        <v>83</v>
      </c>
      <c r="B14" s="1" t="s">
        <v>46</v>
      </c>
      <c r="C14" s="1" t="s">
        <v>12</v>
      </c>
      <c r="D14" s="11">
        <v>45002.490034722221</v>
      </c>
      <c r="E14" s="1" t="s">
        <v>47</v>
      </c>
      <c r="F14" s="1" t="s">
        <v>31</v>
      </c>
      <c r="G14" s="1" t="s">
        <v>30</v>
      </c>
      <c r="H14" s="6" t="s">
        <v>15</v>
      </c>
      <c r="J14" t="str">
        <f t="shared" si="0"/>
        <v>204 Birch St Philadelphia, PA, 19101</v>
      </c>
    </row>
    <row r="15" spans="1:10" x14ac:dyDescent="0.3">
      <c r="A15" s="5" t="s">
        <v>84</v>
      </c>
      <c r="B15" s="1" t="s">
        <v>52</v>
      </c>
      <c r="C15" s="1" t="s">
        <v>9</v>
      </c>
      <c r="D15" s="11">
        <v>45078.417256944442</v>
      </c>
      <c r="E15" s="1" t="s">
        <v>53</v>
      </c>
      <c r="F15" s="1" t="s">
        <v>33</v>
      </c>
      <c r="G15" s="1" t="s">
        <v>26</v>
      </c>
      <c r="H15" s="6" t="s">
        <v>19</v>
      </c>
      <c r="J15" t="str">
        <f t="shared" si="0"/>
        <v>123 Elm St Chicago, IL, 60601</v>
      </c>
    </row>
    <row r="16" spans="1:10" x14ac:dyDescent="0.3">
      <c r="A16" s="5" t="s">
        <v>85</v>
      </c>
      <c r="B16" s="1" t="s">
        <v>60</v>
      </c>
      <c r="C16" s="1" t="s">
        <v>9</v>
      </c>
      <c r="D16" s="11">
        <v>45168.729328703703</v>
      </c>
      <c r="E16" s="1" t="s">
        <v>61</v>
      </c>
      <c r="F16" s="1" t="s">
        <v>28</v>
      </c>
      <c r="G16" s="1" t="s">
        <v>26</v>
      </c>
      <c r="H16" s="6" t="s">
        <v>20</v>
      </c>
      <c r="J16" t="str">
        <f t="shared" si="0"/>
        <v>456 Oak St Chicago, IL, 60601</v>
      </c>
    </row>
    <row r="17" spans="1:10" x14ac:dyDescent="0.3">
      <c r="A17" s="5" t="s">
        <v>86</v>
      </c>
      <c r="B17" s="1" t="s">
        <v>38</v>
      </c>
      <c r="C17" s="1" t="s">
        <v>7</v>
      </c>
      <c r="D17" s="11">
        <v>45218.319780092592</v>
      </c>
      <c r="E17" s="1" t="s">
        <v>39</v>
      </c>
      <c r="F17" s="1" t="s">
        <v>25</v>
      </c>
      <c r="G17" s="1" t="s">
        <v>37</v>
      </c>
      <c r="H17" s="6" t="s">
        <v>14</v>
      </c>
      <c r="J17" t="str">
        <f t="shared" si="0"/>
        <v>203 Birch St Chicago, IL, 60602</v>
      </c>
    </row>
    <row r="18" spans="1:10" x14ac:dyDescent="0.3">
      <c r="A18" s="5" t="s">
        <v>87</v>
      </c>
      <c r="B18" s="1" t="s">
        <v>40</v>
      </c>
      <c r="C18" s="1" t="s">
        <v>12</v>
      </c>
      <c r="D18" s="11">
        <v>45350.719236111108</v>
      </c>
      <c r="E18" s="1" t="s">
        <v>41</v>
      </c>
      <c r="F18" s="1" t="s">
        <v>29</v>
      </c>
      <c r="G18" s="1" t="s">
        <v>30</v>
      </c>
      <c r="H18" s="6" t="s">
        <v>10</v>
      </c>
      <c r="J18" t="str">
        <f t="shared" si="0"/>
        <v>459 Oak St Philadelphia, PA, 19101</v>
      </c>
    </row>
    <row r="19" spans="1:10" x14ac:dyDescent="0.3">
      <c r="A19" s="5" t="s">
        <v>88</v>
      </c>
      <c r="B19" s="1" t="s">
        <v>48</v>
      </c>
      <c r="C19" s="1" t="s">
        <v>7</v>
      </c>
      <c r="D19" s="11">
        <v>45418.726354166669</v>
      </c>
      <c r="E19" s="1" t="s">
        <v>49</v>
      </c>
      <c r="F19" s="1" t="s">
        <v>28</v>
      </c>
      <c r="G19" s="1" t="s">
        <v>36</v>
      </c>
      <c r="H19" s="6" t="s">
        <v>8</v>
      </c>
      <c r="J19" t="str">
        <f t="shared" si="0"/>
        <v>456 Oak St New York, NY, 10001</v>
      </c>
    </row>
    <row r="20" spans="1:10" x14ac:dyDescent="0.3">
      <c r="A20" s="5" t="s">
        <v>89</v>
      </c>
      <c r="B20" s="1" t="s">
        <v>40</v>
      </c>
      <c r="C20" s="1" t="s">
        <v>9</v>
      </c>
      <c r="D20" s="11">
        <v>45496.291701388887</v>
      </c>
      <c r="E20" s="1" t="s">
        <v>41</v>
      </c>
      <c r="F20" s="1" t="s">
        <v>29</v>
      </c>
      <c r="G20" s="1" t="s">
        <v>30</v>
      </c>
      <c r="H20" s="6" t="s">
        <v>10</v>
      </c>
      <c r="J20" t="str">
        <f t="shared" si="0"/>
        <v>459 Oak St Philadelphia, PA, 19101</v>
      </c>
    </row>
    <row r="21" spans="1:10" ht="15" thickBot="1" x14ac:dyDescent="0.35">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tabSelected="1" topLeftCell="C1" workbookViewId="0">
      <selection activeCell="K24" sqref="K24"/>
    </sheetView>
  </sheetViews>
  <sheetFormatPr defaultRowHeight="14.4" x14ac:dyDescent="0.3"/>
  <cols>
    <col min="1" max="1" width="14.21875" bestFit="1" customWidth="1"/>
    <col min="2" max="2" width="23.44140625" bestFit="1" customWidth="1"/>
    <col min="3" max="3" width="29" style="9" customWidth="1"/>
    <col min="4" max="4" width="16" customWidth="1"/>
    <col min="5" max="5" width="11.88671875" customWidth="1"/>
    <col min="6" max="6" width="22" customWidth="1"/>
    <col min="7" max="8" width="40" customWidth="1"/>
    <col min="9" max="9" width="10.5546875" bestFit="1" customWidth="1"/>
    <col min="10" max="10" width="10.109375" bestFit="1" customWidth="1"/>
    <col min="12" max="12" width="27.21875" bestFit="1" customWidth="1"/>
    <col min="13" max="13" width="17.6640625" bestFit="1" customWidth="1"/>
    <col min="14" max="14" width="18.5546875" bestFit="1" customWidth="1"/>
  </cols>
  <sheetData>
    <row r="1" spans="1:14" x14ac:dyDescent="0.3">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3">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3">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3">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3">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3">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3">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3">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3">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3">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3">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3">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3">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3">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3">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3">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3">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3">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3">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3">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RIGHT(A20,7)</f>
        <v>0123566</v>
      </c>
    </row>
    <row r="21" spans="1:14" ht="15" thickBot="1" x14ac:dyDescent="0.35">
      <c r="A21" s="5" t="s">
        <v>90</v>
      </c>
      <c r="B21" s="7" t="s">
        <v>40</v>
      </c>
      <c r="C21" s="7" t="s">
        <v>9</v>
      </c>
      <c r="D21" s="12">
        <v>45422.739884259259</v>
      </c>
      <c r="E21" s="7" t="s">
        <v>41</v>
      </c>
      <c r="F21" s="7" t="s">
        <v>29</v>
      </c>
      <c r="G21" s="7" t="s">
        <v>36</v>
      </c>
      <c r="H21" s="8" t="s">
        <v>10</v>
      </c>
      <c r="I21" t="e" cm="1" vm="1">
        <f t="array" aca="1" ref="I21" ca="1">_xlfn.TEXTSPLIT(B21," ")</f>
        <v>#NAME?</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election activeCell="G10" sqref="G10"/>
    </sheetView>
  </sheetViews>
  <sheetFormatPr defaultRowHeight="14.4" x14ac:dyDescent="0.3"/>
  <cols>
    <col min="1" max="1" width="14.21875" bestFit="1" customWidth="1"/>
    <col min="2" max="2" width="23.44140625" bestFit="1" customWidth="1"/>
    <col min="3" max="3" width="14" style="9" customWidth="1"/>
    <col min="4" max="4" width="16.109375" customWidth="1"/>
    <col min="5" max="5" width="26.109375" customWidth="1"/>
    <col min="6" max="6" width="22" bestFit="1" customWidth="1"/>
    <col min="7" max="7" width="37" customWidth="1"/>
    <col min="8" max="8" width="40" hidden="1" customWidth="1"/>
    <col min="9" max="9" width="11.5546875" hidden="1" customWidth="1"/>
    <col min="10" max="10" width="9.109375" customWidth="1"/>
  </cols>
  <sheetData>
    <row r="1" spans="1:12" x14ac:dyDescent="0.3">
      <c r="A1" s="2" t="s">
        <v>69</v>
      </c>
      <c r="B1" s="3" t="s">
        <v>2</v>
      </c>
      <c r="C1" s="3" t="s">
        <v>3</v>
      </c>
      <c r="D1" s="10" t="s">
        <v>92</v>
      </c>
      <c r="E1" s="3" t="s">
        <v>0</v>
      </c>
      <c r="F1" s="3" t="s">
        <v>21</v>
      </c>
      <c r="G1" s="3" t="s">
        <v>22</v>
      </c>
      <c r="H1" s="4" t="s">
        <v>4</v>
      </c>
      <c r="J1" s="20" t="s">
        <v>64</v>
      </c>
      <c r="K1" s="20"/>
      <c r="L1" s="20"/>
    </row>
    <row r="2" spans="1:12" x14ac:dyDescent="0.3">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3">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3">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3">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3">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3">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3">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3">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3">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3">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3">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3">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3">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3">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3">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3">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3">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3">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3">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5" thickBot="1" x14ac:dyDescent="0.35">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X25"/>
  <sheetViews>
    <sheetView zoomScale="120" zoomScaleNormal="120" workbookViewId="0">
      <selection activeCell="C8" sqref="C8:F8"/>
    </sheetView>
  </sheetViews>
  <sheetFormatPr defaultRowHeight="14.4" x14ac:dyDescent="0.3"/>
  <cols>
    <col min="1" max="1" width="25.88671875" customWidth="1"/>
    <col min="2" max="2" width="20.33203125" customWidth="1"/>
  </cols>
  <sheetData>
    <row r="2" spans="1:76" x14ac:dyDescent="0.3">
      <c r="A2" s="15" t="s">
        <v>94</v>
      </c>
      <c r="B2" s="16"/>
    </row>
    <row r="3" spans="1:76" x14ac:dyDescent="0.3">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6" x14ac:dyDescent="0.3">
      <c r="A5" s="15" t="s">
        <v>67</v>
      </c>
      <c r="B5" s="16"/>
    </row>
    <row r="6" spans="1:76" x14ac:dyDescent="0.3">
      <c r="A6" s="19" t="s">
        <v>99</v>
      </c>
      <c r="B6" s="19" t="s">
        <v>100</v>
      </c>
      <c r="C6" s="19" t="s">
        <v>101</v>
      </c>
      <c r="D6" s="19" t="s">
        <v>102</v>
      </c>
      <c r="E6" s="19" t="s">
        <v>103</v>
      </c>
      <c r="F6" s="19" t="s">
        <v>104</v>
      </c>
      <c r="G6" s="19" t="s">
        <v>103</v>
      </c>
      <c r="H6" s="19" t="s">
        <v>105</v>
      </c>
      <c r="I6" s="19" t="s">
        <v>106</v>
      </c>
      <c r="J6" s="19" t="s">
        <v>107</v>
      </c>
      <c r="K6" s="19" t="s">
        <v>108</v>
      </c>
      <c r="L6" s="19" t="s">
        <v>109</v>
      </c>
      <c r="M6" s="19" t="s">
        <v>110</v>
      </c>
      <c r="N6" s="19" t="s">
        <v>100</v>
      </c>
      <c r="O6" s="19" t="s">
        <v>99</v>
      </c>
      <c r="P6" s="19" t="s">
        <v>100</v>
      </c>
      <c r="Q6" s="19" t="s">
        <v>101</v>
      </c>
      <c r="R6" s="19" t="s">
        <v>102</v>
      </c>
      <c r="S6" s="19" t="s">
        <v>103</v>
      </c>
      <c r="T6" s="19" t="s">
        <v>100</v>
      </c>
      <c r="U6" s="19" t="s">
        <v>106</v>
      </c>
      <c r="V6" s="19" t="s">
        <v>109</v>
      </c>
      <c r="W6" s="19" t="s">
        <v>111</v>
      </c>
      <c r="X6" s="19" t="s">
        <v>105</v>
      </c>
      <c r="Y6" s="19" t="s">
        <v>100</v>
      </c>
      <c r="Z6" s="19" t="s">
        <v>108</v>
      </c>
      <c r="AA6" s="19" t="s">
        <v>109</v>
      </c>
      <c r="AB6" s="19" t="s">
        <v>110</v>
      </c>
      <c r="AC6" s="19" t="s">
        <v>100</v>
      </c>
      <c r="AD6" s="19" t="s">
        <v>111</v>
      </c>
      <c r="AE6" s="19" t="s">
        <v>105</v>
      </c>
      <c r="AF6" s="19" t="s">
        <v>100</v>
      </c>
      <c r="AG6" s="19" t="s">
        <v>112</v>
      </c>
      <c r="AH6" s="19" t="s">
        <v>108</v>
      </c>
      <c r="AI6" s="19" t="s">
        <v>107</v>
      </c>
      <c r="AJ6" s="19" t="s">
        <v>99</v>
      </c>
      <c r="AK6" s="19" t="s">
        <v>111</v>
      </c>
      <c r="AL6" s="19" t="s">
        <v>113</v>
      </c>
      <c r="AM6" s="19" t="s">
        <v>112</v>
      </c>
      <c r="AN6" s="19" t="s">
        <v>113</v>
      </c>
      <c r="AO6" s="19" t="s">
        <v>104</v>
      </c>
      <c r="AP6" s="19" t="s">
        <v>107</v>
      </c>
      <c r="AQ6" s="19" t="s">
        <v>112</v>
      </c>
      <c r="AR6" s="19" t="s">
        <v>107</v>
      </c>
      <c r="AS6" s="19" t="s">
        <v>106</v>
      </c>
      <c r="AT6" s="19" t="s">
        <v>104</v>
      </c>
      <c r="AU6" s="19" t="s">
        <v>110</v>
      </c>
      <c r="AV6" s="19" t="s">
        <v>111</v>
      </c>
      <c r="AW6" s="19" t="s">
        <v>105</v>
      </c>
      <c r="AX6" s="19" t="s">
        <v>100</v>
      </c>
      <c r="AY6" s="19" t="s">
        <v>109</v>
      </c>
      <c r="AZ6" s="19" t="s">
        <v>112</v>
      </c>
      <c r="BA6" s="19" t="s">
        <v>107</v>
      </c>
      <c r="BB6" s="19" t="s">
        <v>100</v>
      </c>
      <c r="BC6" s="19" t="s">
        <v>108</v>
      </c>
      <c r="BD6" s="19" t="s">
        <v>112</v>
      </c>
      <c r="BE6" s="19" t="s">
        <v>104</v>
      </c>
      <c r="BF6" s="19" t="s">
        <v>103</v>
      </c>
      <c r="BG6" s="19" t="s">
        <v>105</v>
      </c>
      <c r="BH6" s="19" t="s">
        <v>106</v>
      </c>
      <c r="BI6" s="19" t="s">
        <v>107</v>
      </c>
      <c r="BJ6" s="19" t="s">
        <v>100</v>
      </c>
      <c r="BK6" s="19" t="s">
        <v>106</v>
      </c>
      <c r="BL6" s="19" t="s">
        <v>109</v>
      </c>
      <c r="BM6" s="19" t="s">
        <v>111</v>
      </c>
      <c r="BN6" s="19" t="s">
        <v>104</v>
      </c>
      <c r="BO6" s="19" t="s">
        <v>114</v>
      </c>
      <c r="BP6" s="19" t="s">
        <v>105</v>
      </c>
      <c r="BQ6" s="19" t="s">
        <v>110</v>
      </c>
      <c r="BR6" s="19" t="s">
        <v>100</v>
      </c>
      <c r="BS6" s="19" t="s">
        <v>106</v>
      </c>
      <c r="BT6" s="19" t="s">
        <v>109</v>
      </c>
      <c r="BU6" s="19" t="s">
        <v>100</v>
      </c>
      <c r="BV6" s="19" t="s">
        <v>106</v>
      </c>
      <c r="BW6" s="19" t="s">
        <v>109</v>
      </c>
      <c r="BX6" s="19"/>
    </row>
    <row r="7" spans="1:76" ht="15" thickBot="1" x14ac:dyDescent="0.35"/>
    <row r="8" spans="1:76" ht="15" thickBot="1" x14ac:dyDescent="0.35">
      <c r="A8" s="21" t="s">
        <v>68</v>
      </c>
      <c r="B8" s="21" t="s">
        <v>93</v>
      </c>
    </row>
    <row r="9" spans="1:76" x14ac:dyDescent="0.3">
      <c r="A9" s="22" t="str" cm="1">
        <f t="array" ref="A9:A25">_xlfn.UNIQUE(TRANSPOSE(6:6))</f>
        <v>Kafka</v>
      </c>
      <c r="B9" s="23">
        <f>COUNTIF($6:$6,A9)</f>
        <v>3</v>
      </c>
    </row>
    <row r="10" spans="1:76" x14ac:dyDescent="0.3">
      <c r="A10" s="5" t="str">
        <v>DataBricks</v>
      </c>
      <c r="B10" s="6">
        <f t="shared" ref="B10:B25" si="0">COUNTIF($6:$6,A10)</f>
        <v>12</v>
      </c>
    </row>
    <row r="11" spans="1:76" x14ac:dyDescent="0.3">
      <c r="A11" s="5" t="str">
        <v>Spark</v>
      </c>
      <c r="B11" s="6">
        <f t="shared" si="0"/>
        <v>2</v>
      </c>
    </row>
    <row r="12" spans="1:76" x14ac:dyDescent="0.3">
      <c r="A12" s="5" t="str">
        <v>Python</v>
      </c>
      <c r="B12" s="6">
        <f t="shared" si="0"/>
        <v>2</v>
      </c>
    </row>
    <row r="13" spans="1:76" x14ac:dyDescent="0.3">
      <c r="A13" s="5" t="str">
        <v>GCP</v>
      </c>
      <c r="B13" s="6">
        <f t="shared" si="0"/>
        <v>4</v>
      </c>
    </row>
    <row r="14" spans="1:76" x14ac:dyDescent="0.3">
      <c r="A14" s="5" t="str">
        <v>Power BI</v>
      </c>
      <c r="B14" s="6">
        <f t="shared" si="0"/>
        <v>5</v>
      </c>
    </row>
    <row r="15" spans="1:76" x14ac:dyDescent="0.3">
      <c r="A15" s="5" t="str">
        <v>Airflow</v>
      </c>
      <c r="B15" s="6">
        <f t="shared" si="0"/>
        <v>6</v>
      </c>
    </row>
    <row r="16" spans="1:76" x14ac:dyDescent="0.3">
      <c r="A16" s="5" t="str">
        <v>Hadoop</v>
      </c>
      <c r="B16" s="6">
        <f t="shared" si="0"/>
        <v>7</v>
      </c>
    </row>
    <row r="17" spans="1:2" x14ac:dyDescent="0.3">
      <c r="A17" s="5" t="str">
        <v>R</v>
      </c>
      <c r="B17" s="6">
        <f t="shared" si="0"/>
        <v>6</v>
      </c>
    </row>
    <row r="18" spans="1:2" x14ac:dyDescent="0.3">
      <c r="A18" s="5" t="str">
        <v>Azure</v>
      </c>
      <c r="B18" s="6">
        <f t="shared" si="0"/>
        <v>4</v>
      </c>
    </row>
    <row r="19" spans="1:2" x14ac:dyDescent="0.3">
      <c r="A19" s="5" t="str">
        <v>Java</v>
      </c>
      <c r="B19" s="6">
        <f t="shared" si="0"/>
        <v>7</v>
      </c>
    </row>
    <row r="20" spans="1:2" x14ac:dyDescent="0.3">
      <c r="A20" s="5" t="str">
        <v>SQL</v>
      </c>
      <c r="B20" s="6">
        <f t="shared" si="0"/>
        <v>4</v>
      </c>
    </row>
    <row r="21" spans="1:2" x14ac:dyDescent="0.3">
      <c r="A21" s="5" t="str">
        <v>Snowflake</v>
      </c>
      <c r="B21" s="6">
        <f t="shared" si="0"/>
        <v>5</v>
      </c>
    </row>
    <row r="22" spans="1:2" x14ac:dyDescent="0.3">
      <c r="A22" s="5" t="str">
        <v>Scala</v>
      </c>
      <c r="B22" s="6">
        <f t="shared" si="0"/>
        <v>5</v>
      </c>
    </row>
    <row r="23" spans="1:2" x14ac:dyDescent="0.3">
      <c r="A23" s="5" t="str">
        <v>Excel</v>
      </c>
      <c r="B23" s="6">
        <f t="shared" si="0"/>
        <v>2</v>
      </c>
    </row>
    <row r="24" spans="1:2" x14ac:dyDescent="0.3">
      <c r="A24" s="5" t="str">
        <v>Tableau</v>
      </c>
      <c r="B24" s="6">
        <f t="shared" si="0"/>
        <v>1</v>
      </c>
    </row>
    <row r="25" spans="1:2" ht="15" thickBot="1" x14ac:dyDescent="0.35">
      <c r="A25" s="24">
        <v>0</v>
      </c>
      <c r="B25" s="8">
        <f t="shared" si="0"/>
        <v>0</v>
      </c>
    </row>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Nazil Dhalwala</cp:lastModifiedBy>
  <dcterms:created xsi:type="dcterms:W3CDTF">2015-06-05T18:17:20Z</dcterms:created>
  <dcterms:modified xsi:type="dcterms:W3CDTF">2026-08-30T11:35:58Z</dcterms:modified>
</cp:coreProperties>
</file>