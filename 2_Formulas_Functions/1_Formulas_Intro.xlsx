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zil\1 A CHARUSAT\1 Visual Studio Code\Personal\DOA\1_Excel_DOA_Course\Excel_Data_Analytics_Course\2_Formulas_Functions\"/>
    </mc:Choice>
  </mc:AlternateContent>
  <xr:revisionPtr revIDLastSave="0" documentId="13_ncr:1_{3BB4EE72-BEE2-48D5-9516-3093F269D8BF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<sst xmlns="http://schemas.openxmlformats.org/spreadsheetml/2006/main" count="125" uniqueCount="54">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</sst>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30" zoomScaleNormal="130" workbookViewId="0">
      <selection activeCell="N13" sqref="N13"/>
    </sheetView>
  </sheetViews>
  <sheetFormatPr defaultColWidth="9" defaultRowHeight="14.4" x14ac:dyDescent="0.3"/>
  <cols>
    <col min="1" max="1" width="5.109375" style="2" customWidth="1"/>
    <col min="2" max="2" width="22.6640625" style="2" bestFit="1" customWidth="1"/>
    <col min="3" max="3" width="10.44140625" style="2" customWidth="1"/>
    <col min="4" max="4" width="12.21875" style="2" customWidth="1"/>
    <col min="5" max="5" width="11.5546875" style="2" customWidth="1"/>
    <col min="6" max="6" width="10" style="2" hidden="1" customWidth="1"/>
    <col min="7" max="7" width="9" style="2"/>
    <col min="8" max="9" width="0" style="2" hidden="1" customWidth="1"/>
    <col min="10" max="10" width="9.88671875" style="2" hidden="1" customWidth="1"/>
    <col min="11" max="11" width="0" style="2" hidden="1" customWidth="1"/>
    <col min="12" max="12" width="10.44140625" style="2" customWidth="1"/>
    <col min="13" max="13" width="9" style="2"/>
    <col min="14" max="14" width="11.21875" style="2" customWidth="1"/>
    <col min="15" max="16384" width="9" style="2"/>
  </cols>
  <sheetData>
    <row r="1" spans="2:15" ht="15" thickBot="1" x14ac:dyDescent="0.35"/>
    <row r="2" spans="2:15" ht="72" x14ac:dyDescent="0.3">
      <c r="B2" s="3" t="s">
        <v>10</v>
      </c>
      <c r="C2" s="4" t="s">
        <v>12</v>
      </c>
      <c r="D2" s="4" t="s">
        <v>11</v>
      </c>
      <c r="E2" s="5" t="s">
        <v>13</v>
      </c>
      <c r="F2" s="17" t="s">
        <v>15</v>
      </c>
      <c r="G2" s="17" t="s">
        <v>14</v>
      </c>
      <c r="H2" s="17" t="s">
        <v>16</v>
      </c>
      <c r="I2" s="17" t="s">
        <v>31</v>
      </c>
      <c r="J2" s="17" t="s">
        <v>45</v>
      </c>
      <c r="K2" s="17" t="s">
        <v>32</v>
      </c>
      <c r="L2" s="17" t="s">
        <v>47</v>
      </c>
      <c r="M2" s="17" t="s">
        <v>46</v>
      </c>
      <c r="N2" s="17" t="s">
        <v>52</v>
      </c>
      <c r="O2" s="17" t="s">
        <v>50</v>
      </c>
    </row>
    <row r="3" spans="2:15" x14ac:dyDescent="0.3">
      <c r="B3" s="6" t="s">
        <v>0</v>
      </c>
      <c r="C3" s="7">
        <v>5</v>
      </c>
      <c r="D3" s="7">
        <v>120000</v>
      </c>
      <c r="E3" s="8">
        <v>10000</v>
      </c>
      <c r="F3" s="2">
        <f>C3</f>
        <v>5</v>
      </c>
      <c r="G3" s="2">
        <f>D3+E3</f>
        <v>130000</v>
      </c>
      <c r="H3" s="24">
        <f>E3/D3</f>
        <v>8.3333333333333329E-2</v>
      </c>
      <c r="I3" s="2">
        <f>H3*D3+D3</f>
        <v>130000</v>
      </c>
      <c r="J3" s="2" t="b">
        <f>I3=G3</f>
        <v>1</v>
      </c>
      <c r="K3" s="2" t="b">
        <f>E3&gt;D3</f>
        <v>0</v>
      </c>
      <c r="L3" s="2" t="b">
        <f>C3&lt;=$C$15</f>
        <v>1</v>
      </c>
      <c r="M3" s="2" t="b">
        <f>G3&gt;=$C$16</f>
        <v>1</v>
      </c>
      <c r="N3" s="2" t="b">
        <f>AND(L3,M3)</f>
        <v>1</v>
      </c>
      <c r="O3" s="2" t="b">
        <f>AND(L3,M3)</f>
        <v>1</v>
      </c>
    </row>
    <row r="4" spans="2:15" x14ac:dyDescent="0.3">
      <c r="B4" s="6" t="s">
        <v>1</v>
      </c>
      <c r="C4" s="7">
        <v>4</v>
      </c>
      <c r="D4" s="7">
        <v>135000</v>
      </c>
      <c r="E4" s="8">
        <v>12000</v>
      </c>
      <c r="F4" s="2">
        <f t="shared" ref="F4:F12" si="0">C4</f>
        <v>4</v>
      </c>
      <c r="G4" s="2">
        <f t="shared" ref="G4:G12" si="1">D4+E4</f>
        <v>147000</v>
      </c>
      <c r="H4" s="24">
        <f t="shared" ref="H4:H12" si="2">E4/D4</f>
        <v>8.8888888888888892E-2</v>
      </c>
      <c r="I4" s="2">
        <f t="shared" ref="I4:I12" si="3">H4*D4+D4</f>
        <v>147000</v>
      </c>
      <c r="J4" s="2" t="b">
        <f t="shared" ref="J4:J12" si="4">I4=G4</f>
        <v>1</v>
      </c>
      <c r="K4" s="2" t="b">
        <f t="shared" ref="K4:K12" si="5">E4&gt;D4</f>
        <v>0</v>
      </c>
      <c r="L4" s="2" t="b">
        <f t="shared" ref="L4:L12" si="6">C4&lt;=$C$15</f>
        <v>1</v>
      </c>
      <c r="M4" s="2" t="b">
        <f t="shared" ref="M4:M12" si="7">G4&gt;=$C$16</f>
        <v>1</v>
      </c>
      <c r="N4" s="2" t="b">
        <f t="shared" ref="N4:N12" si="8">AND(L4,M4)</f>
        <v>1</v>
      </c>
      <c r="O4" s="2" t="b">
        <f t="shared" ref="O4:O12" si="9">AND(L4,M4)</f>
        <v>1</v>
      </c>
    </row>
    <row r="5" spans="2:15" x14ac:dyDescent="0.3">
      <c r="B5" s="6" t="s">
        <v>2</v>
      </c>
      <c r="C5" s="7">
        <v>2</v>
      </c>
      <c r="D5" s="7">
        <v>75000</v>
      </c>
      <c r="E5" s="8">
        <v>5000</v>
      </c>
      <c r="F5" s="2">
        <f t="shared" si="0"/>
        <v>2</v>
      </c>
      <c r="G5" s="2">
        <f t="shared" si="1"/>
        <v>80000</v>
      </c>
      <c r="H5" s="24">
        <f t="shared" si="2"/>
        <v>6.6666666666666666E-2</v>
      </c>
      <c r="I5" s="2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6"/>
        <v>1</v>
      </c>
      <c r="M5" s="2" t="b">
        <f t="shared" si="7"/>
        <v>0</v>
      </c>
      <c r="N5" s="2" t="b">
        <f t="shared" si="8"/>
        <v>0</v>
      </c>
      <c r="O5" s="2" t="b">
        <f t="shared" si="9"/>
        <v>0</v>
      </c>
    </row>
    <row r="6" spans="2:15" x14ac:dyDescent="0.3">
      <c r="B6" s="6" t="s">
        <v>3</v>
      </c>
      <c r="C6" s="7">
        <v>6</v>
      </c>
      <c r="D6" s="7">
        <v>110000</v>
      </c>
      <c r="E6" s="8">
        <v>8000</v>
      </c>
      <c r="F6" s="2">
        <f t="shared" si="0"/>
        <v>6</v>
      </c>
      <c r="G6" s="2">
        <f t="shared" si="1"/>
        <v>118000</v>
      </c>
      <c r="H6" s="24">
        <f t="shared" si="2"/>
        <v>7.2727272727272724E-2</v>
      </c>
      <c r="I6" s="2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6"/>
        <v>0</v>
      </c>
      <c r="M6" s="2" t="b">
        <f t="shared" si="7"/>
        <v>1</v>
      </c>
      <c r="N6" s="2" t="b">
        <f t="shared" si="8"/>
        <v>0</v>
      </c>
      <c r="O6" s="2" t="b">
        <f t="shared" si="9"/>
        <v>0</v>
      </c>
    </row>
    <row r="7" spans="2:15" x14ac:dyDescent="0.3">
      <c r="B7" s="6" t="s">
        <v>4</v>
      </c>
      <c r="C7" s="7">
        <v>3</v>
      </c>
      <c r="D7" s="7">
        <v>125000</v>
      </c>
      <c r="E7" s="8">
        <v>11000</v>
      </c>
      <c r="F7" s="2">
        <f t="shared" si="0"/>
        <v>3</v>
      </c>
      <c r="G7" s="2">
        <f t="shared" si="1"/>
        <v>136000</v>
      </c>
      <c r="H7" s="24">
        <f t="shared" si="2"/>
        <v>8.7999999999999995E-2</v>
      </c>
      <c r="I7" s="2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6"/>
        <v>1</v>
      </c>
      <c r="M7" s="2" t="b">
        <f t="shared" si="7"/>
        <v>1</v>
      </c>
      <c r="N7" s="2" t="b">
        <f t="shared" si="8"/>
        <v>1</v>
      </c>
      <c r="O7" s="2" t="b">
        <f t="shared" si="9"/>
        <v>1</v>
      </c>
    </row>
    <row r="8" spans="2:15" x14ac:dyDescent="0.3">
      <c r="B8" s="6" t="s">
        <v>5</v>
      </c>
      <c r="C8" s="7">
        <v>7</v>
      </c>
      <c r="D8" s="7">
        <v>90000</v>
      </c>
      <c r="E8" s="8">
        <v>7000</v>
      </c>
      <c r="F8" s="2">
        <f t="shared" si="0"/>
        <v>7</v>
      </c>
      <c r="G8" s="2">
        <f t="shared" si="1"/>
        <v>97000</v>
      </c>
      <c r="H8" s="24">
        <f t="shared" si="2"/>
        <v>7.7777777777777779E-2</v>
      </c>
      <c r="I8" s="2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6"/>
        <v>0</v>
      </c>
      <c r="M8" s="2" t="b">
        <f t="shared" si="7"/>
        <v>1</v>
      </c>
      <c r="N8" s="2" t="b">
        <f t="shared" si="8"/>
        <v>0</v>
      </c>
      <c r="O8" s="2" t="b">
        <f t="shared" si="9"/>
        <v>0</v>
      </c>
    </row>
    <row r="9" spans="2:15" x14ac:dyDescent="0.3">
      <c r="B9" s="6" t="s">
        <v>6</v>
      </c>
      <c r="C9" s="7">
        <v>10</v>
      </c>
      <c r="D9" s="7">
        <v>150000</v>
      </c>
      <c r="E9" s="8">
        <v>15000</v>
      </c>
      <c r="F9" s="2">
        <f t="shared" si="0"/>
        <v>10</v>
      </c>
      <c r="G9" s="2">
        <f t="shared" si="1"/>
        <v>165000</v>
      </c>
      <c r="H9" s="24">
        <f t="shared" si="2"/>
        <v>0.1</v>
      </c>
      <c r="I9" s="2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6"/>
        <v>0</v>
      </c>
      <c r="M9" s="2" t="b">
        <f t="shared" si="7"/>
        <v>1</v>
      </c>
      <c r="N9" s="2" t="b">
        <f t="shared" si="8"/>
        <v>0</v>
      </c>
      <c r="O9" s="2" t="b">
        <f t="shared" si="9"/>
        <v>0</v>
      </c>
    </row>
    <row r="10" spans="2:15" x14ac:dyDescent="0.3">
      <c r="B10" s="6" t="s">
        <v>7</v>
      </c>
      <c r="C10" s="7">
        <v>8</v>
      </c>
      <c r="D10" s="7">
        <v>130000</v>
      </c>
      <c r="E10" s="8">
        <v>13000</v>
      </c>
      <c r="F10" s="2">
        <f t="shared" si="0"/>
        <v>8</v>
      </c>
      <c r="G10" s="2">
        <f t="shared" si="1"/>
        <v>143000</v>
      </c>
      <c r="H10" s="24">
        <f t="shared" si="2"/>
        <v>0.1</v>
      </c>
      <c r="I10" s="2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6"/>
        <v>0</v>
      </c>
      <c r="M10" s="2" t="b">
        <f t="shared" si="7"/>
        <v>1</v>
      </c>
      <c r="N10" s="2" t="b">
        <f t="shared" si="8"/>
        <v>0</v>
      </c>
      <c r="O10" s="2" t="b">
        <f t="shared" si="9"/>
        <v>0</v>
      </c>
    </row>
    <row r="11" spans="2:15" x14ac:dyDescent="0.3">
      <c r="B11" s="6" t="s">
        <v>8</v>
      </c>
      <c r="C11" s="7">
        <v>3</v>
      </c>
      <c r="D11" s="7">
        <v>140000</v>
      </c>
      <c r="E11" s="8">
        <v>14000</v>
      </c>
      <c r="F11" s="2">
        <f t="shared" si="0"/>
        <v>3</v>
      </c>
      <c r="G11" s="2">
        <f t="shared" si="1"/>
        <v>154000</v>
      </c>
      <c r="H11" s="24">
        <f t="shared" si="2"/>
        <v>0.1</v>
      </c>
      <c r="I11" s="2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6"/>
        <v>1</v>
      </c>
      <c r="M11" s="2" t="b">
        <f t="shared" si="7"/>
        <v>1</v>
      </c>
      <c r="N11" s="2" t="b">
        <f t="shared" si="8"/>
        <v>1</v>
      </c>
      <c r="O11" s="2" t="b">
        <f t="shared" si="9"/>
        <v>1</v>
      </c>
    </row>
    <row r="12" spans="2:15" ht="15" thickBot="1" x14ac:dyDescent="0.35">
      <c r="B12" s="9" t="s">
        <v>9</v>
      </c>
      <c r="C12" s="10">
        <v>5</v>
      </c>
      <c r="D12" s="10">
        <v>115000</v>
      </c>
      <c r="E12" s="11">
        <v>9000</v>
      </c>
      <c r="F12" s="2">
        <f t="shared" si="0"/>
        <v>5</v>
      </c>
      <c r="G12" s="2">
        <f t="shared" si="1"/>
        <v>124000</v>
      </c>
      <c r="H12" s="24">
        <f t="shared" si="2"/>
        <v>7.8260869565217397E-2</v>
      </c>
      <c r="I12" s="2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6"/>
        <v>1</v>
      </c>
      <c r="M12" s="2" t="b">
        <f t="shared" si="7"/>
        <v>1</v>
      </c>
      <c r="N12" s="2" t="b">
        <f t="shared" si="8"/>
        <v>1</v>
      </c>
      <c r="O12" s="2" t="b">
        <f t="shared" si="9"/>
        <v>1</v>
      </c>
    </row>
    <row r="14" spans="2:15" ht="15" thickBot="1" x14ac:dyDescent="0.35">
      <c r="B14" s="23" t="s">
        <v>51</v>
      </c>
    </row>
    <row r="15" spans="2:15" x14ac:dyDescent="0.3">
      <c r="B15" s="19" t="s">
        <v>48</v>
      </c>
      <c r="C15" s="20">
        <v>5</v>
      </c>
    </row>
    <row r="16" spans="2:15" ht="15" thickBot="1" x14ac:dyDescent="0.35">
      <c r="B16" s="21" t="s">
        <v>49</v>
      </c>
      <c r="C16" s="22">
        <v>90000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M12"/>
  <sheetViews>
    <sheetView topLeftCell="G1" zoomScale="194" zoomScaleNormal="130" workbookViewId="0">
      <selection activeCell="N2" sqref="N2"/>
    </sheetView>
  </sheetViews>
  <sheetFormatPr defaultColWidth="9" defaultRowHeight="14.4" x14ac:dyDescent="0.3"/>
  <cols>
    <col min="1" max="1" width="5.109375" style="2" customWidth="1"/>
    <col min="2" max="2" width="22.6640625" style="2" bestFit="1" customWidth="1"/>
    <col min="3" max="3" width="10.44140625" style="2" customWidth="1"/>
    <col min="4" max="4" width="12.21875" style="2" customWidth="1"/>
    <col min="5" max="5" width="11.5546875" style="2" customWidth="1"/>
    <col min="6" max="6" width="10.5546875" style="2" customWidth="1"/>
    <col min="7" max="7" width="9" style="2"/>
    <col min="8" max="9" width="11" style="2" customWidth="1"/>
    <col min="10" max="11" width="9" style="2"/>
    <col min="12" max="12" width="13.109375" style="2" bestFit="1" customWidth="1"/>
    <col min="13" max="13" width="11" style="2" bestFit="1" customWidth="1"/>
    <col min="14" max="16384" width="9" style="2"/>
  </cols>
  <sheetData>
    <row r="1" spans="2:13" ht="15" thickBot="1" x14ac:dyDescent="0.35"/>
    <row r="2" spans="2:13" s="12" customFormat="1" ht="27.75" customHeight="1" x14ac:dyDescent="0.3">
      <c r="B2" s="3" t="s">
        <v>10</v>
      </c>
      <c r="C2" s="4" t="s">
        <v>12</v>
      </c>
      <c r="D2" s="4" t="s">
        <v>11</v>
      </c>
      <c r="E2" s="5" t="s">
        <v>13</v>
      </c>
      <c r="F2" s="17" t="s">
        <v>15</v>
      </c>
      <c r="G2" s="17" t="s">
        <v>14</v>
      </c>
      <c r="H2" s="17" t="s">
        <v>16</v>
      </c>
      <c r="I2" s="17" t="s">
        <v>31</v>
      </c>
      <c r="K2" s="26" t="s">
        <v>17</v>
      </c>
      <c r="L2" s="27" t="s">
        <v>18</v>
      </c>
      <c r="M2" s="26" t="s">
        <v>53</v>
      </c>
    </row>
    <row r="3" spans="2:13" x14ac:dyDescent="0.3">
      <c r="B3" s="6" t="s">
        <v>0</v>
      </c>
      <c r="C3" s="7">
        <v>5</v>
      </c>
      <c r="D3" s="7">
        <v>120000</v>
      </c>
      <c r="E3" s="8">
        <v>10000</v>
      </c>
      <c r="F3" s="2">
        <f>C3</f>
        <v>5</v>
      </c>
      <c r="G3" s="2">
        <f>D3+E3</f>
        <v>130000</v>
      </c>
      <c r="H3" s="13">
        <f>E3/D3</f>
        <v>8.3333333333333329E-2</v>
      </c>
      <c r="I3" s="18">
        <f>D3+D3*H3</f>
        <v>130000</v>
      </c>
      <c r="K3" s="16" t="s">
        <v>27</v>
      </c>
      <c r="L3" s="1" t="s">
        <v>28</v>
      </c>
      <c r="M3" s="25">
        <v>1</v>
      </c>
    </row>
    <row r="4" spans="2:13" x14ac:dyDescent="0.3">
      <c r="B4" s="6" t="s">
        <v>1</v>
      </c>
      <c r="C4" s="7">
        <v>4</v>
      </c>
      <c r="D4" s="7">
        <v>135000</v>
      </c>
      <c r="E4" s="8">
        <v>12000</v>
      </c>
      <c r="F4" s="2">
        <f t="shared" ref="F4:F12" si="0">C4</f>
        <v>4</v>
      </c>
      <c r="G4" s="2">
        <f t="shared" ref="G4:G12" si="1">D4+E4</f>
        <v>147000</v>
      </c>
      <c r="H4" s="13">
        <f t="shared" ref="H4:H12" si="2">E4/D4</f>
        <v>8.8888888888888892E-2</v>
      </c>
      <c r="I4" s="18">
        <f t="shared" ref="I4:I12" si="3">D4+D4*H4</f>
        <v>147000</v>
      </c>
      <c r="K4" s="16" t="s">
        <v>23</v>
      </c>
      <c r="L4" s="1" t="s">
        <v>24</v>
      </c>
      <c r="M4" s="25">
        <v>2</v>
      </c>
    </row>
    <row r="5" spans="2:13" x14ac:dyDescent="0.3">
      <c r="B5" s="6" t="s">
        <v>2</v>
      </c>
      <c r="C5" s="7">
        <v>2</v>
      </c>
      <c r="D5" s="7">
        <v>75000</v>
      </c>
      <c r="E5" s="8">
        <v>5000</v>
      </c>
      <c r="F5" s="2">
        <f t="shared" si="0"/>
        <v>2</v>
      </c>
      <c r="G5" s="2">
        <f t="shared" si="1"/>
        <v>80000</v>
      </c>
      <c r="H5" s="13">
        <f t="shared" si="2"/>
        <v>6.6666666666666666E-2</v>
      </c>
      <c r="I5" s="18">
        <f t="shared" si="3"/>
        <v>80000</v>
      </c>
      <c r="K5" s="16" t="s">
        <v>25</v>
      </c>
      <c r="L5" s="1" t="s">
        <v>26</v>
      </c>
      <c r="M5" s="25">
        <v>2</v>
      </c>
    </row>
    <row r="6" spans="2:13" x14ac:dyDescent="0.3">
      <c r="B6" s="6" t="s">
        <v>3</v>
      </c>
      <c r="C6" s="7">
        <v>6</v>
      </c>
      <c r="D6" s="7">
        <v>110000</v>
      </c>
      <c r="E6" s="8">
        <v>8000</v>
      </c>
      <c r="F6" s="2">
        <f t="shared" si="0"/>
        <v>6</v>
      </c>
      <c r="G6" s="2">
        <f t="shared" si="1"/>
        <v>118000</v>
      </c>
      <c r="H6" s="13">
        <f t="shared" si="2"/>
        <v>7.2727272727272724E-2</v>
      </c>
      <c r="I6" s="18">
        <f t="shared" si="3"/>
        <v>118000</v>
      </c>
      <c r="K6" s="16" t="s">
        <v>19</v>
      </c>
      <c r="L6" s="1" t="s">
        <v>20</v>
      </c>
      <c r="M6" s="25">
        <v>3</v>
      </c>
    </row>
    <row r="7" spans="2:13" x14ac:dyDescent="0.3">
      <c r="B7" s="6" t="s">
        <v>4</v>
      </c>
      <c r="C7" s="7">
        <v>3</v>
      </c>
      <c r="D7" s="7">
        <v>125000</v>
      </c>
      <c r="E7" s="8">
        <v>11000</v>
      </c>
      <c r="F7" s="2">
        <f t="shared" si="0"/>
        <v>3</v>
      </c>
      <c r="G7" s="2">
        <f t="shared" si="1"/>
        <v>136000</v>
      </c>
      <c r="H7" s="13">
        <f t="shared" si="2"/>
        <v>8.7999999999999995E-2</v>
      </c>
      <c r="I7" s="18">
        <f t="shared" si="3"/>
        <v>136000</v>
      </c>
      <c r="K7" s="16" t="s">
        <v>21</v>
      </c>
      <c r="L7" s="1" t="s">
        <v>22</v>
      </c>
      <c r="M7" s="25">
        <v>3</v>
      </c>
    </row>
    <row r="8" spans="2:13" x14ac:dyDescent="0.3">
      <c r="B8" s="6" t="s">
        <v>5</v>
      </c>
      <c r="C8" s="7">
        <v>7</v>
      </c>
      <c r="D8" s="7">
        <v>90000</v>
      </c>
      <c r="E8" s="8">
        <v>7000</v>
      </c>
      <c r="F8" s="2">
        <f t="shared" si="0"/>
        <v>7</v>
      </c>
      <c r="G8" s="2">
        <f t="shared" si="1"/>
        <v>97000</v>
      </c>
      <c r="H8" s="13">
        <f t="shared" si="2"/>
        <v>7.7777777777777779E-2</v>
      </c>
      <c r="I8" s="18">
        <f t="shared" si="3"/>
        <v>97000</v>
      </c>
      <c r="K8" s="16" t="s">
        <v>29</v>
      </c>
      <c r="L8" s="1" t="s">
        <v>30</v>
      </c>
      <c r="M8" s="25">
        <v>4</v>
      </c>
    </row>
    <row r="9" spans="2:13" x14ac:dyDescent="0.3">
      <c r="B9" s="6" t="s">
        <v>6</v>
      </c>
      <c r="C9" s="7">
        <v>10</v>
      </c>
      <c r="D9" s="7">
        <v>150000</v>
      </c>
      <c r="E9" s="8">
        <v>15000</v>
      </c>
      <c r="F9" s="2">
        <f t="shared" si="0"/>
        <v>10</v>
      </c>
      <c r="G9" s="2">
        <f t="shared" si="1"/>
        <v>165000</v>
      </c>
      <c r="H9" s="13">
        <f t="shared" si="2"/>
        <v>0.1</v>
      </c>
      <c r="I9" s="18">
        <f t="shared" si="3"/>
        <v>165000</v>
      </c>
      <c r="K9" s="25" t="s">
        <v>37</v>
      </c>
      <c r="L9" s="25" t="s">
        <v>38</v>
      </c>
      <c r="M9" s="25">
        <v>5</v>
      </c>
    </row>
    <row r="10" spans="2:13" x14ac:dyDescent="0.3">
      <c r="B10" s="6" t="s">
        <v>7</v>
      </c>
      <c r="C10" s="7">
        <v>8</v>
      </c>
      <c r="D10" s="7">
        <v>130000</v>
      </c>
      <c r="E10" s="8">
        <v>13000</v>
      </c>
      <c r="F10" s="2">
        <f t="shared" si="0"/>
        <v>8</v>
      </c>
      <c r="G10" s="2">
        <f t="shared" si="1"/>
        <v>143000</v>
      </c>
      <c r="H10" s="13">
        <f t="shared" si="2"/>
        <v>0.1</v>
      </c>
      <c r="I10" s="18">
        <f t="shared" si="3"/>
        <v>143000</v>
      </c>
      <c r="K10" s="25" t="s">
        <v>35</v>
      </c>
      <c r="L10" s="25" t="s">
        <v>36</v>
      </c>
      <c r="M10" s="25">
        <v>5</v>
      </c>
    </row>
    <row r="11" spans="2:13" x14ac:dyDescent="0.3">
      <c r="B11" s="6" t="s">
        <v>8</v>
      </c>
      <c r="C11" s="7">
        <v>3</v>
      </c>
      <c r="D11" s="7">
        <v>140000</v>
      </c>
      <c r="E11" s="8">
        <v>14000</v>
      </c>
      <c r="F11" s="2">
        <f t="shared" si="0"/>
        <v>3</v>
      </c>
      <c r="G11" s="2">
        <f t="shared" si="1"/>
        <v>154000</v>
      </c>
      <c r="H11" s="13">
        <f t="shared" si="2"/>
        <v>0.1</v>
      </c>
      <c r="I11" s="18">
        <f t="shared" si="3"/>
        <v>154000</v>
      </c>
    </row>
    <row r="12" spans="2:13" ht="15" thickBot="1" x14ac:dyDescent="0.35">
      <c r="B12" s="9" t="s">
        <v>9</v>
      </c>
      <c r="C12" s="10">
        <v>5</v>
      </c>
      <c r="D12" s="10">
        <v>115000</v>
      </c>
      <c r="E12" s="11">
        <v>9000</v>
      </c>
      <c r="F12" s="2">
        <f t="shared" si="0"/>
        <v>5</v>
      </c>
      <c r="G12" s="2">
        <f t="shared" si="1"/>
        <v>124000</v>
      </c>
      <c r="H12" s="13">
        <f t="shared" si="2"/>
        <v>7.8260869565217397E-2</v>
      </c>
      <c r="I12" s="18">
        <f t="shared" si="3"/>
        <v>124000</v>
      </c>
    </row>
  </sheetData>
  <sortState xmlns:xlrd2="http://schemas.microsoft.com/office/spreadsheetml/2017/richdata2" ref="K3:M10">
    <sortCondition ref="M3:M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E18" sqref="E18"/>
    </sheetView>
  </sheetViews>
  <sheetFormatPr defaultColWidth="9" defaultRowHeight="14.4" x14ac:dyDescent="0.3"/>
  <cols>
    <col min="1" max="1" width="5.109375" style="2" customWidth="1"/>
    <col min="2" max="2" width="22.6640625" style="2" bestFit="1" customWidth="1"/>
    <col min="3" max="3" width="10.44140625" style="2" customWidth="1"/>
    <col min="4" max="4" width="12.21875" style="2" customWidth="1"/>
    <col min="5" max="5" width="11.5546875" style="2" customWidth="1"/>
    <col min="6" max="6" width="10.5546875" style="2" hidden="1" customWidth="1"/>
    <col min="7" max="7" width="9" style="2"/>
    <col min="8" max="8" width="11" style="2" hidden="1" customWidth="1"/>
    <col min="9" max="9" width="11" style="2" customWidth="1"/>
    <col min="10" max="10" width="17.21875" style="2" customWidth="1"/>
    <col min="11" max="11" width="14.21875" style="2" customWidth="1"/>
    <col min="12" max="13" width="9" style="2"/>
    <col min="14" max="14" width="20.44140625" style="2" bestFit="1" customWidth="1"/>
    <col min="15" max="16384" width="9" style="2"/>
  </cols>
  <sheetData>
    <row r="1" spans="2:14" ht="15" thickBot="1" x14ac:dyDescent="0.35"/>
    <row r="2" spans="2:14" s="12" customFormat="1" ht="27.75" customHeight="1" x14ac:dyDescent="0.3">
      <c r="B2" s="3" t="s">
        <v>10</v>
      </c>
      <c r="C2" s="4" t="s">
        <v>12</v>
      </c>
      <c r="D2" s="4" t="s">
        <v>11</v>
      </c>
      <c r="E2" s="5" t="s">
        <v>13</v>
      </c>
      <c r="F2" s="17" t="s">
        <v>15</v>
      </c>
      <c r="G2" s="17" t="s">
        <v>14</v>
      </c>
      <c r="H2" s="17" t="s">
        <v>16</v>
      </c>
      <c r="I2" s="17" t="s">
        <v>31</v>
      </c>
      <c r="J2" s="17" t="s">
        <v>45</v>
      </c>
      <c r="K2" s="17" t="s">
        <v>32</v>
      </c>
      <c r="M2" s="14" t="s">
        <v>17</v>
      </c>
      <c r="N2" s="15" t="s">
        <v>18</v>
      </c>
    </row>
    <row r="3" spans="2:14" x14ac:dyDescent="0.3">
      <c r="B3" s="6" t="s">
        <v>0</v>
      </c>
      <c r="C3" s="7">
        <v>5</v>
      </c>
      <c r="D3" s="7">
        <v>120000</v>
      </c>
      <c r="E3" s="8">
        <v>10000</v>
      </c>
      <c r="F3" s="2">
        <f>C3</f>
        <v>5</v>
      </c>
      <c r="G3" s="2">
        <f>D3+E3</f>
        <v>130000</v>
      </c>
      <c r="H3" s="13">
        <f>E3/D3</f>
        <v>8.3333333333333329E-2</v>
      </c>
      <c r="I3" s="18">
        <f>D3+D3*H3</f>
        <v>130000</v>
      </c>
      <c r="J3" s="2" t="b">
        <f>G3=I3</f>
        <v>1</v>
      </c>
      <c r="K3" s="2" t="b">
        <f>E3&gt;D3</f>
        <v>0</v>
      </c>
      <c r="M3" s="16" t="s">
        <v>33</v>
      </c>
      <c r="N3" s="1" t="s">
        <v>34</v>
      </c>
    </row>
    <row r="4" spans="2:14" x14ac:dyDescent="0.3">
      <c r="B4" s="6" t="s">
        <v>1</v>
      </c>
      <c r="C4" s="7">
        <v>4</v>
      </c>
      <c r="D4" s="7">
        <v>135000</v>
      </c>
      <c r="E4" s="8">
        <v>12000</v>
      </c>
      <c r="F4" s="2">
        <f t="shared" ref="F4:F12" si="0">C4</f>
        <v>4</v>
      </c>
      <c r="G4" s="2">
        <f t="shared" ref="G4:G12" si="1">D4+E4</f>
        <v>147000</v>
      </c>
      <c r="H4" s="13">
        <f t="shared" ref="H4:H12" si="2">E4/D4</f>
        <v>8.8888888888888892E-2</v>
      </c>
      <c r="I4" s="18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M4" s="16" t="s">
        <v>35</v>
      </c>
      <c r="N4" s="1" t="s">
        <v>36</v>
      </c>
    </row>
    <row r="5" spans="2:14" x14ac:dyDescent="0.3">
      <c r="B5" s="6" t="s">
        <v>2</v>
      </c>
      <c r="C5" s="7">
        <v>2</v>
      </c>
      <c r="D5" s="7">
        <v>75000</v>
      </c>
      <c r="E5" s="8">
        <v>5000</v>
      </c>
      <c r="F5" s="2">
        <f t="shared" si="0"/>
        <v>2</v>
      </c>
      <c r="G5" s="2">
        <f t="shared" si="1"/>
        <v>80000</v>
      </c>
      <c r="H5" s="13">
        <f t="shared" si="2"/>
        <v>6.6666666666666666E-2</v>
      </c>
      <c r="I5" s="18">
        <f t="shared" si="3"/>
        <v>80000</v>
      </c>
      <c r="J5" s="2" t="b">
        <f t="shared" si="4"/>
        <v>1</v>
      </c>
      <c r="K5" s="2" t="b">
        <f t="shared" si="5"/>
        <v>0</v>
      </c>
      <c r="M5" s="16" t="s">
        <v>37</v>
      </c>
      <c r="N5" s="1" t="s">
        <v>38</v>
      </c>
    </row>
    <row r="6" spans="2:14" x14ac:dyDescent="0.3">
      <c r="B6" s="6" t="s">
        <v>3</v>
      </c>
      <c r="C6" s="7">
        <v>6</v>
      </c>
      <c r="D6" s="7">
        <v>110000</v>
      </c>
      <c r="E6" s="8">
        <v>8000</v>
      </c>
      <c r="F6" s="2">
        <f t="shared" si="0"/>
        <v>6</v>
      </c>
      <c r="G6" s="2">
        <f t="shared" si="1"/>
        <v>118000</v>
      </c>
      <c r="H6" s="13">
        <f t="shared" si="2"/>
        <v>7.2727272727272724E-2</v>
      </c>
      <c r="I6" s="18">
        <f t="shared" si="3"/>
        <v>118000</v>
      </c>
      <c r="J6" s="2" t="b">
        <f t="shared" si="4"/>
        <v>1</v>
      </c>
      <c r="K6" s="2" t="b">
        <f t="shared" si="5"/>
        <v>0</v>
      </c>
      <c r="M6" s="16" t="s">
        <v>39</v>
      </c>
      <c r="N6" s="1" t="s">
        <v>40</v>
      </c>
    </row>
    <row r="7" spans="2:14" x14ac:dyDescent="0.3">
      <c r="B7" s="6" t="s">
        <v>4</v>
      </c>
      <c r="C7" s="7">
        <v>3</v>
      </c>
      <c r="D7" s="7">
        <v>125000</v>
      </c>
      <c r="E7" s="8">
        <v>11000</v>
      </c>
      <c r="F7" s="2">
        <f t="shared" si="0"/>
        <v>3</v>
      </c>
      <c r="G7" s="2">
        <f t="shared" si="1"/>
        <v>136000</v>
      </c>
      <c r="H7" s="13">
        <f t="shared" si="2"/>
        <v>8.7999999999999995E-2</v>
      </c>
      <c r="I7" s="18">
        <f t="shared" si="3"/>
        <v>136000</v>
      </c>
      <c r="J7" s="2" t="b">
        <f t="shared" si="4"/>
        <v>1</v>
      </c>
      <c r="K7" s="2" t="b">
        <f t="shared" si="5"/>
        <v>0</v>
      </c>
      <c r="M7" s="16" t="s">
        <v>41</v>
      </c>
      <c r="N7" s="1" t="s">
        <v>42</v>
      </c>
    </row>
    <row r="8" spans="2:14" x14ac:dyDescent="0.3">
      <c r="B8" s="6" t="s">
        <v>5</v>
      </c>
      <c r="C8" s="7">
        <v>7</v>
      </c>
      <c r="D8" s="7">
        <v>90000</v>
      </c>
      <c r="E8" s="8">
        <v>7000</v>
      </c>
      <c r="F8" s="2">
        <f t="shared" si="0"/>
        <v>7</v>
      </c>
      <c r="G8" s="2">
        <f t="shared" si="1"/>
        <v>97000</v>
      </c>
      <c r="H8" s="13">
        <f t="shared" si="2"/>
        <v>7.7777777777777779E-2</v>
      </c>
      <c r="I8" s="18">
        <f t="shared" si="3"/>
        <v>97000</v>
      </c>
      <c r="J8" s="2" t="b">
        <f t="shared" si="4"/>
        <v>1</v>
      </c>
      <c r="K8" s="2" t="b">
        <f t="shared" si="5"/>
        <v>0</v>
      </c>
      <c r="M8" s="16" t="s">
        <v>43</v>
      </c>
      <c r="N8" s="1" t="s">
        <v>44</v>
      </c>
    </row>
    <row r="9" spans="2:14" x14ac:dyDescent="0.3">
      <c r="B9" s="6" t="s">
        <v>6</v>
      </c>
      <c r="C9" s="7">
        <v>10</v>
      </c>
      <c r="D9" s="7">
        <v>150000</v>
      </c>
      <c r="E9" s="8">
        <v>15000</v>
      </c>
      <c r="F9" s="2">
        <f t="shared" si="0"/>
        <v>10</v>
      </c>
      <c r="G9" s="2">
        <f t="shared" si="1"/>
        <v>165000</v>
      </c>
      <c r="H9" s="13">
        <f t="shared" si="2"/>
        <v>0.1</v>
      </c>
      <c r="I9" s="18">
        <f t="shared" si="3"/>
        <v>165000</v>
      </c>
      <c r="J9" s="2" t="b">
        <f t="shared" si="4"/>
        <v>1</v>
      </c>
      <c r="K9" s="2" t="b">
        <f t="shared" si="5"/>
        <v>0</v>
      </c>
    </row>
    <row r="10" spans="2:14" x14ac:dyDescent="0.3">
      <c r="B10" s="6" t="s">
        <v>7</v>
      </c>
      <c r="C10" s="7">
        <v>8</v>
      </c>
      <c r="D10" s="7">
        <v>130000</v>
      </c>
      <c r="E10" s="8">
        <v>13000</v>
      </c>
      <c r="F10" s="2">
        <f t="shared" si="0"/>
        <v>8</v>
      </c>
      <c r="G10" s="2">
        <f t="shared" si="1"/>
        <v>143000</v>
      </c>
      <c r="H10" s="13">
        <f t="shared" si="2"/>
        <v>0.1</v>
      </c>
      <c r="I10" s="18">
        <f t="shared" si="3"/>
        <v>143000</v>
      </c>
      <c r="J10" s="2" t="b">
        <f t="shared" si="4"/>
        <v>1</v>
      </c>
      <c r="K10" s="2" t="b">
        <f t="shared" si="5"/>
        <v>0</v>
      </c>
    </row>
    <row r="11" spans="2:14" x14ac:dyDescent="0.3">
      <c r="B11" s="6" t="s">
        <v>8</v>
      </c>
      <c r="C11" s="7">
        <v>3</v>
      </c>
      <c r="D11" s="7">
        <v>140000</v>
      </c>
      <c r="E11" s="8">
        <v>14000</v>
      </c>
      <c r="F11" s="2">
        <f t="shared" si="0"/>
        <v>3</v>
      </c>
      <c r="G11" s="2">
        <f t="shared" si="1"/>
        <v>154000</v>
      </c>
      <c r="H11" s="13">
        <f t="shared" si="2"/>
        <v>0.1</v>
      </c>
      <c r="I11" s="18">
        <f t="shared" si="3"/>
        <v>154000</v>
      </c>
      <c r="J11" s="2" t="b">
        <f t="shared" si="4"/>
        <v>1</v>
      </c>
      <c r="K11" s="2" t="b">
        <f t="shared" si="5"/>
        <v>0</v>
      </c>
    </row>
    <row r="12" spans="2:14" ht="15" thickBot="1" x14ac:dyDescent="0.35">
      <c r="B12" s="9" t="s">
        <v>9</v>
      </c>
      <c r="C12" s="10">
        <v>5</v>
      </c>
      <c r="D12" s="10">
        <v>115000</v>
      </c>
      <c r="E12" s="11">
        <v>9000</v>
      </c>
      <c r="F12" s="2">
        <f t="shared" si="0"/>
        <v>5</v>
      </c>
      <c r="G12" s="2">
        <f t="shared" si="1"/>
        <v>124000</v>
      </c>
      <c r="H12" s="13">
        <f t="shared" si="2"/>
        <v>7.8260869565217397E-2</v>
      </c>
      <c r="I12" s="18">
        <f t="shared" si="3"/>
        <v>124000</v>
      </c>
      <c r="J12" s="2" t="b">
        <f t="shared" si="4"/>
        <v>1</v>
      </c>
      <c r="K12" s="2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2" customWidth="1"/>
    <col min="2" max="2" width="22.6640625" style="2" bestFit="1" customWidth="1"/>
    <col min="3" max="3" width="10.44140625" style="2" customWidth="1"/>
    <col min="4" max="4" width="12.21875" style="2" customWidth="1"/>
    <col min="5" max="5" width="11.5546875" style="2" customWidth="1"/>
    <col min="6" max="6" width="10.5546875" style="2" hidden="1" customWidth="1"/>
    <col min="7" max="7" width="9" style="2"/>
    <col min="8" max="9" width="11" style="2" hidden="1" customWidth="1"/>
    <col min="10" max="10" width="17.21875" style="2" hidden="1" customWidth="1"/>
    <col min="11" max="11" width="14.21875" style="2" hidden="1" customWidth="1"/>
    <col min="12" max="12" width="10.109375" style="2" customWidth="1"/>
    <col min="13" max="13" width="9" style="2"/>
    <col min="14" max="14" width="10.44140625" style="2" customWidth="1"/>
    <col min="15" max="16384" width="9" style="2"/>
  </cols>
  <sheetData>
    <row r="1" spans="2:15" ht="15" thickBot="1" x14ac:dyDescent="0.35"/>
    <row r="2" spans="2:15" s="12" customFormat="1" ht="27.75" customHeight="1" x14ac:dyDescent="0.3">
      <c r="B2" s="3" t="s">
        <v>10</v>
      </c>
      <c r="C2" s="4" t="s">
        <v>12</v>
      </c>
      <c r="D2" s="4" t="s">
        <v>11</v>
      </c>
      <c r="E2" s="5" t="s">
        <v>13</v>
      </c>
      <c r="F2" s="17" t="s">
        <v>15</v>
      </c>
      <c r="G2" s="17" t="s">
        <v>14</v>
      </c>
      <c r="H2" s="17" t="s">
        <v>16</v>
      </c>
      <c r="I2" s="17" t="s">
        <v>31</v>
      </c>
      <c r="J2" s="17" t="s">
        <v>45</v>
      </c>
      <c r="K2" s="17" t="s">
        <v>32</v>
      </c>
      <c r="L2" s="17" t="s">
        <v>47</v>
      </c>
      <c r="M2" s="17" t="s">
        <v>46</v>
      </c>
      <c r="N2" s="17" t="s">
        <v>52</v>
      </c>
      <c r="O2" s="17" t="s">
        <v>50</v>
      </c>
    </row>
    <row r="3" spans="2:15" x14ac:dyDescent="0.3">
      <c r="B3" s="6" t="s">
        <v>0</v>
      </c>
      <c r="C3" s="7">
        <v>5</v>
      </c>
      <c r="D3" s="7">
        <v>120000</v>
      </c>
      <c r="E3" s="8">
        <v>10000</v>
      </c>
      <c r="F3" s="2">
        <f>C3</f>
        <v>5</v>
      </c>
      <c r="G3" s="2">
        <f>D3+E3</f>
        <v>130000</v>
      </c>
      <c r="H3" s="13">
        <f>E3/D3</f>
        <v>8.3333333333333329E-2</v>
      </c>
      <c r="I3" s="18">
        <f>D3+D3*H3</f>
        <v>130000</v>
      </c>
      <c r="J3" s="2" t="b">
        <f>G3=I3</f>
        <v>1</v>
      </c>
      <c r="K3" s="2" t="b">
        <f>E3&gt;D3</f>
        <v>0</v>
      </c>
      <c r="L3" s="2" t="b">
        <f>$C$15&lt;=C3</f>
        <v>1</v>
      </c>
      <c r="M3" s="2" t="b">
        <f>$G3&gt;=$C$16</f>
        <v>1</v>
      </c>
      <c r="N3" s="2">
        <f>L3*M3</f>
        <v>1</v>
      </c>
      <c r="O3" s="2" t="b">
        <f>L3*M3=1</f>
        <v>1</v>
      </c>
    </row>
    <row r="4" spans="2:15" x14ac:dyDescent="0.3">
      <c r="B4" s="6" t="s">
        <v>1</v>
      </c>
      <c r="C4" s="7">
        <v>4</v>
      </c>
      <c r="D4" s="7">
        <v>135000</v>
      </c>
      <c r="E4" s="8">
        <v>12000</v>
      </c>
      <c r="F4" s="2">
        <f t="shared" ref="F4:F12" si="0">C4</f>
        <v>4</v>
      </c>
      <c r="G4" s="2">
        <f t="shared" ref="G4:G12" si="1">D4+E4</f>
        <v>147000</v>
      </c>
      <c r="H4" s="13">
        <f t="shared" ref="H4:H12" si="2">E4/D4</f>
        <v>8.8888888888888892E-2</v>
      </c>
      <c r="I4" s="18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L4" s="2" t="b">
        <f t="shared" ref="L4:L12" si="6">$C$15&lt;=C4</f>
        <v>0</v>
      </c>
      <c r="M4" s="2" t="b">
        <f t="shared" ref="M4:M12" si="7">$G4&gt;=$C$16</f>
        <v>1</v>
      </c>
      <c r="N4" s="2">
        <f t="shared" ref="N4:N12" si="8">L4*M4</f>
        <v>0</v>
      </c>
      <c r="O4" s="2" t="b">
        <f t="shared" ref="O4:O12" si="9">L4*M4=1</f>
        <v>0</v>
      </c>
    </row>
    <row r="5" spans="2:15" x14ac:dyDescent="0.3">
      <c r="B5" s="6" t="s">
        <v>2</v>
      </c>
      <c r="C5" s="7">
        <v>2</v>
      </c>
      <c r="D5" s="7">
        <v>75000</v>
      </c>
      <c r="E5" s="8">
        <v>5000</v>
      </c>
      <c r="F5" s="2">
        <f t="shared" si="0"/>
        <v>2</v>
      </c>
      <c r="G5" s="2">
        <f t="shared" si="1"/>
        <v>80000</v>
      </c>
      <c r="H5" s="13">
        <f t="shared" si="2"/>
        <v>6.6666666666666666E-2</v>
      </c>
      <c r="I5" s="18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6"/>
        <v>0</v>
      </c>
      <c r="M5" s="2" t="b">
        <f t="shared" si="7"/>
        <v>0</v>
      </c>
      <c r="N5" s="2">
        <f t="shared" si="8"/>
        <v>0</v>
      </c>
      <c r="O5" s="2" t="b">
        <f t="shared" si="9"/>
        <v>0</v>
      </c>
    </row>
    <row r="6" spans="2:15" x14ac:dyDescent="0.3">
      <c r="B6" s="6" t="s">
        <v>3</v>
      </c>
      <c r="C6" s="7">
        <v>6</v>
      </c>
      <c r="D6" s="7">
        <v>110000</v>
      </c>
      <c r="E6" s="8">
        <v>8000</v>
      </c>
      <c r="F6" s="2">
        <f t="shared" si="0"/>
        <v>6</v>
      </c>
      <c r="G6" s="2">
        <f t="shared" si="1"/>
        <v>118000</v>
      </c>
      <c r="H6" s="13">
        <f t="shared" si="2"/>
        <v>7.2727272727272724E-2</v>
      </c>
      <c r="I6" s="18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6"/>
        <v>1</v>
      </c>
      <c r="M6" s="2" t="b">
        <f t="shared" si="7"/>
        <v>1</v>
      </c>
      <c r="N6" s="2">
        <f t="shared" si="8"/>
        <v>1</v>
      </c>
      <c r="O6" s="2" t="b">
        <f t="shared" si="9"/>
        <v>1</v>
      </c>
    </row>
    <row r="7" spans="2:15" x14ac:dyDescent="0.3">
      <c r="B7" s="6" t="s">
        <v>4</v>
      </c>
      <c r="C7" s="7">
        <v>3</v>
      </c>
      <c r="D7" s="7">
        <v>125000</v>
      </c>
      <c r="E7" s="8">
        <v>11000</v>
      </c>
      <c r="F7" s="2">
        <f t="shared" si="0"/>
        <v>3</v>
      </c>
      <c r="G7" s="2">
        <f t="shared" si="1"/>
        <v>136000</v>
      </c>
      <c r="H7" s="13">
        <f t="shared" si="2"/>
        <v>8.7999999999999995E-2</v>
      </c>
      <c r="I7" s="18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6"/>
        <v>0</v>
      </c>
      <c r="M7" s="2" t="b">
        <f t="shared" si="7"/>
        <v>1</v>
      </c>
      <c r="N7" s="2">
        <f t="shared" si="8"/>
        <v>0</v>
      </c>
      <c r="O7" s="2" t="b">
        <f t="shared" si="9"/>
        <v>0</v>
      </c>
    </row>
    <row r="8" spans="2:15" x14ac:dyDescent="0.3">
      <c r="B8" s="6" t="s">
        <v>5</v>
      </c>
      <c r="C8" s="7">
        <v>7</v>
      </c>
      <c r="D8" s="7">
        <v>90000</v>
      </c>
      <c r="E8" s="8">
        <v>7000</v>
      </c>
      <c r="F8" s="2">
        <f t="shared" si="0"/>
        <v>7</v>
      </c>
      <c r="G8" s="2">
        <f t="shared" si="1"/>
        <v>97000</v>
      </c>
      <c r="H8" s="13">
        <f t="shared" si="2"/>
        <v>7.7777777777777779E-2</v>
      </c>
      <c r="I8" s="18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6"/>
        <v>1</v>
      </c>
      <c r="M8" s="2" t="b">
        <f t="shared" si="7"/>
        <v>1</v>
      </c>
      <c r="N8" s="2">
        <f t="shared" si="8"/>
        <v>1</v>
      </c>
      <c r="O8" s="2" t="b">
        <f t="shared" si="9"/>
        <v>1</v>
      </c>
    </row>
    <row r="9" spans="2:15" x14ac:dyDescent="0.3">
      <c r="B9" s="6" t="s">
        <v>6</v>
      </c>
      <c r="C9" s="7">
        <v>10</v>
      </c>
      <c r="D9" s="7">
        <v>150000</v>
      </c>
      <c r="E9" s="8">
        <v>15000</v>
      </c>
      <c r="F9" s="2">
        <f t="shared" si="0"/>
        <v>10</v>
      </c>
      <c r="G9" s="2">
        <f t="shared" si="1"/>
        <v>165000</v>
      </c>
      <c r="H9" s="13">
        <f t="shared" si="2"/>
        <v>0.1</v>
      </c>
      <c r="I9" s="18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6"/>
        <v>1</v>
      </c>
      <c r="M9" s="2" t="b">
        <f t="shared" si="7"/>
        <v>1</v>
      </c>
      <c r="N9" s="2">
        <f t="shared" si="8"/>
        <v>1</v>
      </c>
      <c r="O9" s="2" t="b">
        <f t="shared" si="9"/>
        <v>1</v>
      </c>
    </row>
    <row r="10" spans="2:15" x14ac:dyDescent="0.3">
      <c r="B10" s="6" t="s">
        <v>7</v>
      </c>
      <c r="C10" s="7">
        <v>8</v>
      </c>
      <c r="D10" s="7">
        <v>130000</v>
      </c>
      <c r="E10" s="8">
        <v>13000</v>
      </c>
      <c r="F10" s="2">
        <f t="shared" si="0"/>
        <v>8</v>
      </c>
      <c r="G10" s="2">
        <f t="shared" si="1"/>
        <v>143000</v>
      </c>
      <c r="H10" s="13">
        <f t="shared" si="2"/>
        <v>0.1</v>
      </c>
      <c r="I10" s="18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6"/>
        <v>1</v>
      </c>
      <c r="M10" s="2" t="b">
        <f t="shared" si="7"/>
        <v>1</v>
      </c>
      <c r="N10" s="2">
        <f t="shared" si="8"/>
        <v>1</v>
      </c>
      <c r="O10" s="2" t="b">
        <f t="shared" si="9"/>
        <v>1</v>
      </c>
    </row>
    <row r="11" spans="2:15" x14ac:dyDescent="0.3">
      <c r="B11" s="6" t="s">
        <v>8</v>
      </c>
      <c r="C11" s="7">
        <v>3</v>
      </c>
      <c r="D11" s="7">
        <v>140000</v>
      </c>
      <c r="E11" s="8">
        <v>14000</v>
      </c>
      <c r="F11" s="2">
        <f t="shared" si="0"/>
        <v>3</v>
      </c>
      <c r="G11" s="2">
        <f t="shared" si="1"/>
        <v>154000</v>
      </c>
      <c r="H11" s="13">
        <f t="shared" si="2"/>
        <v>0.1</v>
      </c>
      <c r="I11" s="18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6"/>
        <v>0</v>
      </c>
      <c r="M11" s="2" t="b">
        <f t="shared" si="7"/>
        <v>1</v>
      </c>
      <c r="N11" s="2">
        <f t="shared" si="8"/>
        <v>0</v>
      </c>
      <c r="O11" s="2" t="b">
        <f t="shared" si="9"/>
        <v>0</v>
      </c>
    </row>
    <row r="12" spans="2:15" ht="15" thickBot="1" x14ac:dyDescent="0.35">
      <c r="B12" s="9" t="s">
        <v>9</v>
      </c>
      <c r="C12" s="10">
        <v>5</v>
      </c>
      <c r="D12" s="10">
        <v>115000</v>
      </c>
      <c r="E12" s="11">
        <v>9000</v>
      </c>
      <c r="F12" s="2">
        <f t="shared" si="0"/>
        <v>5</v>
      </c>
      <c r="G12" s="2">
        <f t="shared" si="1"/>
        <v>124000</v>
      </c>
      <c r="H12" s="13">
        <f t="shared" si="2"/>
        <v>7.8260869565217397E-2</v>
      </c>
      <c r="I12" s="18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6"/>
        <v>1</v>
      </c>
      <c r="M12" s="2" t="b">
        <f t="shared" si="7"/>
        <v>1</v>
      </c>
      <c r="N12" s="2">
        <f t="shared" si="8"/>
        <v>1</v>
      </c>
      <c r="O12" s="2" t="b">
        <f t="shared" si="9"/>
        <v>1</v>
      </c>
    </row>
    <row r="14" spans="2:15" ht="15" thickBot="1" x14ac:dyDescent="0.35">
      <c r="B14" s="23" t="s">
        <v>51</v>
      </c>
    </row>
    <row r="15" spans="2:15" x14ac:dyDescent="0.3">
      <c r="B15" s="19" t="s">
        <v>48</v>
      </c>
      <c r="C15" s="20">
        <v>5</v>
      </c>
    </row>
    <row r="16" spans="2:15" ht="15" thickBot="1" x14ac:dyDescent="0.35">
      <c r="B16" s="21" t="s">
        <v>49</v>
      </c>
      <c r="C16" s="22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musharraf.dhalwala18@outlook.com</cp:lastModifiedBy>
  <dcterms:created xsi:type="dcterms:W3CDTF">2024-07-16T20:11:02Z</dcterms:created>
  <dcterms:modified xsi:type="dcterms:W3CDTF">2026-06-09T10:51:27Z</dcterms:modified>
</cp:coreProperties>
</file>